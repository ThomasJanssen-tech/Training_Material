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quanthicsbv-my.sharepoint.com/personal/thomas_janssen_quanthics_com/Documents/00. QUANTHICS BV/02. Trainingen/01. Op maat gemaakte trainingen/Smits van den Broek/"/>
    </mc:Choice>
  </mc:AlternateContent>
  <xr:revisionPtr revIDLastSave="310" documentId="8_{E3064E68-A4FA-4F26-BF72-995DC4B6138C}" xr6:coauthVersionLast="47" xr6:coauthVersionMax="47" xr10:uidLastSave="{1D9447EE-0088-468E-BB10-3E097344A9CA}"/>
  <bookViews>
    <workbookView xWindow="-120" yWindow="-120" windowWidth="29040" windowHeight="15720" xr2:uid="{00000000-000D-0000-FFFF-FFFF00000000}"/>
  </bookViews>
  <sheets>
    <sheet name="Sheet" sheetId="1" r:id="rId1"/>
  </sheets>
  <definedNames>
    <definedName name="_xlnm.Print_Titles" localSheetId="0">Sheet!$1:$1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83" i="1" l="1"/>
  <c r="G383" i="1"/>
  <c r="F383" i="1"/>
  <c r="H382" i="1"/>
  <c r="G382" i="1"/>
  <c r="F382" i="1"/>
  <c r="I381" i="1"/>
  <c r="H381" i="1"/>
  <c r="H379" i="1"/>
  <c r="G379" i="1"/>
  <c r="F379" i="1"/>
  <c r="I378" i="1"/>
  <c r="H378" i="1"/>
  <c r="H376" i="1"/>
  <c r="G376" i="1"/>
  <c r="F376" i="1"/>
  <c r="I370" i="1"/>
  <c r="I371" i="1" s="1"/>
  <c r="I372" i="1" s="1"/>
  <c r="I373" i="1" s="1"/>
  <c r="I374" i="1" s="1"/>
  <c r="I375" i="1" s="1"/>
  <c r="H370" i="1"/>
  <c r="H371" i="1"/>
  <c r="H372" i="1"/>
  <c r="H373" i="1"/>
  <c r="H374" i="1"/>
  <c r="H375" i="1"/>
  <c r="H368" i="1"/>
  <c r="G368" i="1"/>
  <c r="F368" i="1"/>
  <c r="I357" i="1"/>
  <c r="I358" i="1"/>
  <c r="I359" i="1"/>
  <c r="I360" i="1"/>
  <c r="I361" i="1"/>
  <c r="I362" i="1"/>
  <c r="I363" i="1"/>
  <c r="I364" i="1"/>
  <c r="I365" i="1"/>
  <c r="I366" i="1"/>
  <c r="I367" i="1"/>
  <c r="H357" i="1"/>
  <c r="H358" i="1"/>
  <c r="H359" i="1"/>
  <c r="H360" i="1"/>
  <c r="H361" i="1"/>
  <c r="H362" i="1"/>
  <c r="H363" i="1"/>
  <c r="H364" i="1"/>
  <c r="H365" i="1"/>
  <c r="H366" i="1"/>
  <c r="H367" i="1"/>
  <c r="H355" i="1"/>
  <c r="G355" i="1"/>
  <c r="F355" i="1"/>
  <c r="I354" i="1"/>
  <c r="H354" i="1"/>
  <c r="H352" i="1"/>
  <c r="G352" i="1"/>
  <c r="F352" i="1"/>
  <c r="I350" i="1"/>
  <c r="I351" i="1"/>
  <c r="H350" i="1"/>
  <c r="H351" i="1"/>
  <c r="H348" i="1"/>
  <c r="G348" i="1"/>
  <c r="F348" i="1"/>
  <c r="I341" i="1"/>
  <c r="I342" i="1" s="1"/>
  <c r="I343" i="1" s="1"/>
  <c r="I344" i="1" s="1"/>
  <c r="I345" i="1" s="1"/>
  <c r="I346" i="1" s="1"/>
  <c r="I347" i="1" s="1"/>
  <c r="H341" i="1"/>
  <c r="H342" i="1"/>
  <c r="H343" i="1"/>
  <c r="H344" i="1"/>
  <c r="H345" i="1"/>
  <c r="H346" i="1"/>
  <c r="H347" i="1"/>
  <c r="H339" i="1"/>
  <c r="G339" i="1"/>
  <c r="F339" i="1"/>
  <c r="I336" i="1"/>
  <c r="I337" i="1" s="1"/>
  <c r="I338" i="1" s="1"/>
  <c r="H336" i="1"/>
  <c r="H337" i="1"/>
  <c r="H338" i="1"/>
  <c r="H334" i="1"/>
  <c r="G334" i="1"/>
  <c r="F334" i="1"/>
  <c r="I333" i="1"/>
  <c r="H333" i="1"/>
  <c r="H331" i="1"/>
  <c r="G331" i="1"/>
  <c r="F331" i="1"/>
  <c r="I330" i="1"/>
  <c r="H330" i="1"/>
  <c r="H328" i="1"/>
  <c r="G328" i="1"/>
  <c r="F328" i="1"/>
  <c r="I327" i="1"/>
  <c r="H327" i="1"/>
  <c r="H325" i="1"/>
  <c r="G325" i="1"/>
  <c r="F325" i="1"/>
  <c r="I307" i="1"/>
  <c r="I308" i="1" s="1"/>
  <c r="I309" i="1" s="1"/>
  <c r="I310" i="1" s="1"/>
  <c r="I311" i="1" s="1"/>
  <c r="I312" i="1" s="1"/>
  <c r="I313" i="1" s="1"/>
  <c r="I314" i="1" s="1"/>
  <c r="I315" i="1" s="1"/>
  <c r="I316" i="1" s="1"/>
  <c r="I317" i="1" s="1"/>
  <c r="I318" i="1" s="1"/>
  <c r="I319" i="1" s="1"/>
  <c r="I320" i="1" s="1"/>
  <c r="I321" i="1" s="1"/>
  <c r="I322" i="1" s="1"/>
  <c r="I323" i="1" s="1"/>
  <c r="I324" i="1" s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05" i="1"/>
  <c r="G305" i="1"/>
  <c r="F305" i="1"/>
  <c r="I301" i="1"/>
  <c r="I302" i="1" s="1"/>
  <c r="I303" i="1" s="1"/>
  <c r="I304" i="1" s="1"/>
  <c r="H301" i="1"/>
  <c r="H302" i="1"/>
  <c r="H303" i="1"/>
  <c r="H304" i="1"/>
  <c r="H299" i="1"/>
  <c r="G299" i="1"/>
  <c r="F299" i="1"/>
  <c r="I288" i="1"/>
  <c r="I289" i="1"/>
  <c r="I290" i="1"/>
  <c r="I291" i="1"/>
  <c r="I292" i="1"/>
  <c r="I293" i="1"/>
  <c r="I294" i="1"/>
  <c r="I295" i="1"/>
  <c r="I296" i="1"/>
  <c r="I297" i="1" s="1"/>
  <c r="I298" i="1" s="1"/>
  <c r="H288" i="1"/>
  <c r="H289" i="1"/>
  <c r="H290" i="1"/>
  <c r="H291" i="1"/>
  <c r="H292" i="1"/>
  <c r="H293" i="1"/>
  <c r="H294" i="1"/>
  <c r="H295" i="1"/>
  <c r="H296" i="1"/>
  <c r="H297" i="1"/>
  <c r="H298" i="1"/>
  <c r="H286" i="1"/>
  <c r="G286" i="1"/>
  <c r="F286" i="1"/>
  <c r="I284" i="1"/>
  <c r="I285" i="1"/>
  <c r="H284" i="1"/>
  <c r="H285" i="1"/>
  <c r="H282" i="1"/>
  <c r="G282" i="1"/>
  <c r="F282" i="1"/>
  <c r="I280" i="1"/>
  <c r="I281" i="1"/>
  <c r="H280" i="1"/>
  <c r="H281" i="1"/>
  <c r="H278" i="1"/>
  <c r="G278" i="1"/>
  <c r="F278" i="1"/>
  <c r="I277" i="1"/>
  <c r="H277" i="1"/>
  <c r="H275" i="1"/>
  <c r="G275" i="1"/>
  <c r="F275" i="1"/>
  <c r="I274" i="1"/>
  <c r="H274" i="1"/>
  <c r="H272" i="1"/>
  <c r="G272" i="1"/>
  <c r="F272" i="1"/>
  <c r="I269" i="1"/>
  <c r="I270" i="1"/>
  <c r="I271" i="1"/>
  <c r="H269" i="1"/>
  <c r="H270" i="1"/>
  <c r="H271" i="1"/>
  <c r="H267" i="1"/>
  <c r="G267" i="1"/>
  <c r="F267" i="1"/>
  <c r="I259" i="1"/>
  <c r="I260" i="1"/>
  <c r="I261" i="1"/>
  <c r="I262" i="1"/>
  <c r="I263" i="1"/>
  <c r="I264" i="1"/>
  <c r="I265" i="1"/>
  <c r="I266" i="1"/>
  <c r="H259" i="1"/>
  <c r="H260" i="1"/>
  <c r="H261" i="1"/>
  <c r="H262" i="1"/>
  <c r="H263" i="1"/>
  <c r="H264" i="1"/>
  <c r="H265" i="1"/>
  <c r="H266" i="1"/>
  <c r="H257" i="1"/>
  <c r="G257" i="1"/>
  <c r="F257" i="1"/>
  <c r="I254" i="1"/>
  <c r="I255" i="1"/>
  <c r="I256" i="1"/>
  <c r="H254" i="1"/>
  <c r="H255" i="1"/>
  <c r="H256" i="1"/>
  <c r="H252" i="1"/>
  <c r="G252" i="1"/>
  <c r="F252" i="1"/>
  <c r="I251" i="1"/>
  <c r="H251" i="1"/>
  <c r="H249" i="1"/>
  <c r="G249" i="1"/>
  <c r="F249" i="1"/>
  <c r="I247" i="1"/>
  <c r="I248" i="1"/>
  <c r="H247" i="1"/>
  <c r="H248" i="1"/>
  <c r="H245" i="1"/>
  <c r="G245" i="1"/>
  <c r="F245" i="1"/>
  <c r="I244" i="1"/>
  <c r="H244" i="1"/>
  <c r="H242" i="1"/>
  <c r="G242" i="1"/>
  <c r="F242" i="1"/>
  <c r="I240" i="1"/>
  <c r="I241" i="1"/>
  <c r="H240" i="1"/>
  <c r="H241" i="1"/>
  <c r="H238" i="1"/>
  <c r="G238" i="1"/>
  <c r="F238" i="1"/>
  <c r="I224" i="1"/>
  <c r="I225" i="1"/>
  <c r="I226" i="1"/>
  <c r="I227" i="1" s="1"/>
  <c r="I228" i="1" s="1"/>
  <c r="I229" i="1" s="1"/>
  <c r="I230" i="1" s="1"/>
  <c r="I231" i="1" s="1"/>
  <c r="I232" i="1" s="1"/>
  <c r="I233" i="1" s="1"/>
  <c r="I234" i="1" s="1"/>
  <c r="I235" i="1" s="1"/>
  <c r="I236" i="1" s="1"/>
  <c r="I237" i="1" s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22" i="1"/>
  <c r="G222" i="1"/>
  <c r="F222" i="1"/>
  <c r="I219" i="1"/>
  <c r="I220" i="1" s="1"/>
  <c r="I221" i="1" s="1"/>
  <c r="H219" i="1"/>
  <c r="H220" i="1"/>
  <c r="H221" i="1"/>
  <c r="H217" i="1"/>
  <c r="G217" i="1"/>
  <c r="F217" i="1"/>
  <c r="I207" i="1"/>
  <c r="I208" i="1"/>
  <c r="I209" i="1"/>
  <c r="I210" i="1"/>
  <c r="I211" i="1"/>
  <c r="I212" i="1"/>
  <c r="I213" i="1"/>
  <c r="I214" i="1"/>
  <c r="I215" i="1" s="1"/>
  <c r="I216" i="1" s="1"/>
  <c r="H207" i="1"/>
  <c r="H208" i="1"/>
  <c r="H209" i="1"/>
  <c r="H210" i="1"/>
  <c r="H211" i="1"/>
  <c r="H212" i="1"/>
  <c r="H213" i="1"/>
  <c r="H214" i="1"/>
  <c r="H215" i="1"/>
  <c r="H216" i="1"/>
  <c r="H205" i="1"/>
  <c r="G205" i="1"/>
  <c r="F205" i="1"/>
  <c r="I204" i="1"/>
  <c r="H204" i="1"/>
  <c r="H202" i="1"/>
  <c r="G202" i="1"/>
  <c r="F202" i="1"/>
  <c r="I119" i="1"/>
  <c r="I120" i="1"/>
  <c r="I121" i="1"/>
  <c r="I122" i="1"/>
  <c r="I123" i="1"/>
  <c r="I124" i="1"/>
  <c r="I125" i="1"/>
  <c r="I126" i="1"/>
  <c r="I127" i="1"/>
  <c r="I128" i="1"/>
  <c r="I129" i="1" s="1"/>
  <c r="I130" i="1" s="1"/>
  <c r="I131" i="1" s="1"/>
  <c r="I132" i="1" s="1"/>
  <c r="I133" i="1" s="1"/>
  <c r="I134" i="1" s="1"/>
  <c r="I135" i="1" s="1"/>
  <c r="I136" i="1" s="1"/>
  <c r="I137" i="1" s="1"/>
  <c r="I138" i="1" s="1"/>
  <c r="I139" i="1" s="1"/>
  <c r="I140" i="1" s="1"/>
  <c r="I141" i="1" s="1"/>
  <c r="I142" i="1" s="1"/>
  <c r="I143" i="1" s="1"/>
  <c r="I144" i="1" s="1"/>
  <c r="I145" i="1" s="1"/>
  <c r="I146" i="1" s="1"/>
  <c r="I147" i="1" s="1"/>
  <c r="I148" i="1" s="1"/>
  <c r="I149" i="1" s="1"/>
  <c r="I150" i="1" s="1"/>
  <c r="I151" i="1" s="1"/>
  <c r="I152" i="1" s="1"/>
  <c r="I153" i="1" s="1"/>
  <c r="I154" i="1" s="1"/>
  <c r="I155" i="1" s="1"/>
  <c r="I156" i="1" s="1"/>
  <c r="I157" i="1" s="1"/>
  <c r="I158" i="1" s="1"/>
  <c r="I159" i="1" s="1"/>
  <c r="I160" i="1" s="1"/>
  <c r="I161" i="1" s="1"/>
  <c r="I162" i="1" s="1"/>
  <c r="I163" i="1" s="1"/>
  <c r="I164" i="1" s="1"/>
  <c r="I165" i="1" s="1"/>
  <c r="I166" i="1" s="1"/>
  <c r="I167" i="1" s="1"/>
  <c r="I168" i="1" s="1"/>
  <c r="I169" i="1" s="1"/>
  <c r="I170" i="1" s="1"/>
  <c r="I171" i="1" s="1"/>
  <c r="I172" i="1" s="1"/>
  <c r="I173" i="1" s="1"/>
  <c r="I174" i="1" s="1"/>
  <c r="I175" i="1" s="1"/>
  <c r="I176" i="1" s="1"/>
  <c r="I177" i="1" s="1"/>
  <c r="I178" i="1" s="1"/>
  <c r="I179" i="1" s="1"/>
  <c r="I180" i="1" s="1"/>
  <c r="I181" i="1" s="1"/>
  <c r="I182" i="1" s="1"/>
  <c r="I183" i="1" s="1"/>
  <c r="I184" i="1" s="1"/>
  <c r="I185" i="1" s="1"/>
  <c r="I186" i="1" s="1"/>
  <c r="I187" i="1" s="1"/>
  <c r="I188" i="1" s="1"/>
  <c r="I189" i="1" s="1"/>
  <c r="I190" i="1" s="1"/>
  <c r="I191" i="1" s="1"/>
  <c r="I192" i="1" s="1"/>
  <c r="I193" i="1" s="1"/>
  <c r="I194" i="1" s="1"/>
  <c r="I195" i="1" s="1"/>
  <c r="I196" i="1" s="1"/>
  <c r="I197" i="1" s="1"/>
  <c r="I198" i="1" s="1"/>
  <c r="I199" i="1" s="1"/>
  <c r="I200" i="1" s="1"/>
  <c r="I201" i="1" s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117" i="1"/>
  <c r="G117" i="1"/>
  <c r="F117" i="1"/>
  <c r="I99" i="1"/>
  <c r="I100" i="1"/>
  <c r="I101" i="1"/>
  <c r="I102" i="1"/>
  <c r="I103" i="1"/>
  <c r="I104" i="1"/>
  <c r="I105" i="1" s="1"/>
  <c r="I106" i="1" s="1"/>
  <c r="I107" i="1" s="1"/>
  <c r="I108" i="1" s="1"/>
  <c r="I109" i="1" s="1"/>
  <c r="I110" i="1" s="1"/>
  <c r="I111" i="1" s="1"/>
  <c r="I112" i="1" s="1"/>
  <c r="I113" i="1" s="1"/>
  <c r="I114" i="1" s="1"/>
  <c r="I115" i="1" s="1"/>
  <c r="I116" i="1" s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97" i="1"/>
  <c r="G97" i="1"/>
  <c r="F97" i="1"/>
  <c r="I94" i="1"/>
  <c r="I95" i="1"/>
  <c r="I96" i="1"/>
  <c r="H94" i="1"/>
  <c r="H95" i="1"/>
  <c r="H96" i="1"/>
  <c r="H92" i="1"/>
  <c r="G92" i="1"/>
  <c r="F92" i="1"/>
  <c r="I17" i="1"/>
  <c r="I18" i="1"/>
  <c r="I19" i="1"/>
  <c r="I20" i="1"/>
  <c r="I21" i="1"/>
  <c r="I22" i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15" i="1"/>
  <c r="G15" i="1"/>
  <c r="F15" i="1"/>
  <c r="I11" i="1"/>
  <c r="I12" i="1"/>
  <c r="I13" i="1" s="1"/>
  <c r="I14" i="1" s="1"/>
  <c r="H11" i="1"/>
  <c r="H12" i="1"/>
  <c r="H13" i="1"/>
  <c r="H14" i="1"/>
  <c r="H9" i="1"/>
  <c r="G9" i="1"/>
  <c r="F9" i="1"/>
  <c r="I8" i="1"/>
  <c r="H8" i="1"/>
  <c r="H6" i="1"/>
  <c r="G6" i="1"/>
  <c r="F6" i="1"/>
  <c r="I5" i="1"/>
  <c r="H5" i="1"/>
</calcChain>
</file>

<file path=xl/sharedStrings.xml><?xml version="1.0" encoding="utf-8"?>
<sst xmlns="http://schemas.openxmlformats.org/spreadsheetml/2006/main" count="1383" uniqueCount="194">
  <si>
    <t>Dagboek</t>
  </si>
  <si>
    <t>Dagboeknaam</t>
  </si>
  <si>
    <t>Datum</t>
  </si>
  <si>
    <t>Omschrijving</t>
  </si>
  <si>
    <t>Factuurnummer</t>
  </si>
  <si>
    <t>Debet</t>
  </si>
  <si>
    <t>Credit</t>
  </si>
  <si>
    <t>Saldo</t>
  </si>
  <si>
    <t>Cumulatief</t>
  </si>
  <si>
    <t>Btw-%</t>
  </si>
  <si>
    <t>Btw-controle</t>
  </si>
  <si>
    <t>Gemarkeerd</t>
  </si>
  <si>
    <t>Grootboekrekening: 601: Aandelen in portefeuille (Aantal=1)</t>
  </si>
  <si>
    <t>☐</t>
  </si>
  <si>
    <t>Grootboekrekening: 620: Algemene reserve (Aantal=1)</t>
  </si>
  <si>
    <t>Tussenrekening memoriaal</t>
  </si>
  <si>
    <t>Resultaat 2025</t>
  </si>
  <si>
    <t>Grootboekrekening: 1050: Kruisposten (Aantal=4)</t>
  </si>
  <si>
    <t>☑</t>
  </si>
  <si>
    <t>Debiteuren</t>
  </si>
  <si>
    <t>Crediteuren</t>
  </si>
  <si>
    <t>Div. Horeca</t>
  </si>
  <si>
    <t>Grootboekrekening: 1650: Te betalen/ontvangen VPB (Aantal=1)</t>
  </si>
  <si>
    <t>VPB 2025</t>
  </si>
  <si>
    <t>Grootboekrekening: 1671: Btw af te dragen hoog (verkopen) (Aantal=10)</t>
  </si>
  <si>
    <t>Schoonboeken OB</t>
  </si>
  <si>
    <t>Grootboekrekening: 1679: Btw te vorderen laag (inkopen) (Aantal=3)</t>
  </si>
  <si>
    <t>Grootboekrekening: 1680: Btw te vorderen hoog (inkopen) (Aantal=14)</t>
  </si>
  <si>
    <t>Grootboekrekening: 1684: Btw afdracht (Aantal=2)</t>
  </si>
  <si>
    <t>Grootboekrekening: 1690: Te betalen/ontvangen BTW (Aantal=1)</t>
  </si>
  <si>
    <t>Grootboekrekening: 1812: Vooruitgefactureerde omzet Btw hoog (Aantal=2)</t>
  </si>
  <si>
    <t>Grootboekrekening: 1849: Te betalen Rente en Kosten Bank (Aantal=1)</t>
  </si>
  <si>
    <t>Grootboekrekening: 2011: Tussenrekening memoriaal (Aantal=8)</t>
  </si>
  <si>
    <t>Grootboekrekening: 4552: Automatiseringskosten (Aantal=3)</t>
  </si>
  <si>
    <t>Grootboekrekening: 4553: Automatiseringskosten binnen EU (Aantal=1)</t>
  </si>
  <si>
    <t>Grootboekrekening: 4701: Beurs- en Congresskosten (Aantal=1)</t>
  </si>
  <si>
    <t>Grootboekrekening: 4702: Reclame- en advertentiekosten (Aantal=2)</t>
  </si>
  <si>
    <t>Grootboekrekening: 4703: Website (Aantal=2)</t>
  </si>
  <si>
    <t>Grootboekrekening: 4705: Reclame- en Advertentiekosten binnen EU (Aantal=11)</t>
  </si>
  <si>
    <t>Grootboekrekening: 4721: Representatiekosten (Aantal=4)</t>
  </si>
  <si>
    <t>Div. Horeca Etentje met zakenpartner</t>
  </si>
  <si>
    <t>Grootboekrekening: 4726: Sponsoring en donaties (Aantal=1)</t>
  </si>
  <si>
    <t>Grootboekrekening: 4741: Opleidingskosten (Aantal=1)</t>
  </si>
  <si>
    <t>Grootboekrekening: 4742: Vakliteratuur (Aantal=1)</t>
  </si>
  <si>
    <t>Grootboekrekening: 4950: Managementvergoedingen (Aantal=2)</t>
  </si>
  <si>
    <t>Grootboekrekening: 4990: Overige algemene kosten (Aantal=1)</t>
  </si>
  <si>
    <t>Grootboekrekening: 8024: Opbrengst B2B Trainingen Hoog (Aantal=11)</t>
  </si>
  <si>
    <t>Grootboekrekening: 9301: Rente en Kosten Bank (Aantal=6)</t>
  </si>
  <si>
    <t>Grootboekrekening: 9975: Vennootschapsbelasting (Aantal=1)</t>
  </si>
  <si>
    <t>Grootboekrekening: 9999: Resultaat na Belasting (Aantal=1)</t>
  </si>
  <si>
    <t>Grootboek Mutatie - Kwartet Advies BV</t>
  </si>
  <si>
    <t>Searchline ADS9876543210</t>
  </si>
  <si>
    <t>CORK 2, IRL, 11:27. Pas: 4xxxx1234 Terminal: 12345678. Appr Cd: A1B2C3 Searchline ADS1234567890</t>
  </si>
  <si>
    <t>Correctie d.d. 20-11-2025, CORK 2, IRL, 11:27. Pas: 4xxxx1234 Terminal: 12345678 Appr Cd: A1B2C3 undefined</t>
  </si>
  <si>
    <t>Orion Beheer B.V. Volstorten aandelen</t>
  </si>
  <si>
    <t>Orion Beheer B.V. Lening</t>
  </si>
  <si>
    <t>Kantoormaatjes</t>
  </si>
  <si>
    <t>Searchline ADS1234567890 ***</t>
  </si>
  <si>
    <t>Spaarbank Kosten september 2025</t>
  </si>
  <si>
    <t>Verhagen Kantoor B.V.</t>
  </si>
  <si>
    <t>Spreekvaardig.nl</t>
  </si>
  <si>
    <t>Searchline ADS1234567890</t>
  </si>
  <si>
    <t>Belastingdienst 1234.56.789.B.01.0000 BTW Aangifte 3e kwartaal 2025</t>
  </si>
  <si>
    <t>Lyon, FRA***</t>
  </si>
  <si>
    <t>cc@searchline.com, IRL</t>
  </si>
  <si>
    <t>Spaarbank Kosten Periode 01-10-2025 t m 31-10-2025</t>
  </si>
  <si>
    <t>Atlantic Bank SE - Dublin Branch Atlantic Bank SE - Dublin Branch IE11ATLB1234567890123</t>
  </si>
  <si>
    <t>CONVENTA d.o.o. Ljubljana</t>
  </si>
  <si>
    <t>Kantoormaatjes F2025-0803</t>
  </si>
  <si>
    <t>Verhagen Kantoor B.V. 20258022</t>
  </si>
  <si>
    <t>AlpineAir</t>
  </si>
  <si>
    <t>SEARCHLINE *ADS1234567890</t>
  </si>
  <si>
    <t>Neurotext Ireland Limited</t>
  </si>
  <si>
    <t>Spaarbank Kosten Periode 01-11-2025 t m 30-11-2025</t>
  </si>
  <si>
    <t>Deventer Zwem + Poloclub 2025.S.009</t>
  </si>
  <si>
    <t>Softtech Payments STFT . A1100X7PQ2</t>
  </si>
  <si>
    <t xml:space="preserve">Searchline ADS1234567890 </t>
  </si>
  <si>
    <t>Hotel De Zwaan</t>
  </si>
  <si>
    <t>PJ de Vries Diner Hotel De Zwaan Hengelo***</t>
  </si>
  <si>
    <t>Webgroei Online</t>
  </si>
  <si>
    <t>Parkhotel Zutphen***</t>
  </si>
  <si>
    <t>Mercurius Zutphen***</t>
  </si>
  <si>
    <t>De Pastamakers</t>
  </si>
  <si>
    <t>ORION BEHEER BV Doorbelasten Parkhotel Zutphen Booking.com naar Kwartet</t>
  </si>
  <si>
    <t>Basilico</t>
  </si>
  <si>
    <t>Burgerhuis Deventer</t>
  </si>
  <si>
    <t>ORION BEHEER BV 2025113</t>
  </si>
  <si>
    <t>Duval &amp; Hartman B.V. INV 20258023 3.12.2025</t>
  </si>
  <si>
    <t>ORION BEHEER BV 2025114</t>
  </si>
  <si>
    <t>Smaakhuis Deventer B</t>
  </si>
  <si>
    <t>Restora Techniek B.V. 404380 63638552 20258024 20258024 Workflow fundamentals training 7356 CD GORSSEL</t>
  </si>
  <si>
    <t>Stichting Groen Bouwen 20258025</t>
  </si>
  <si>
    <t>Softtech Ireland Operations Ltd</t>
  </si>
  <si>
    <t>Boekhandel De Olijfboom</t>
  </si>
  <si>
    <t>Het Marketingnest 2025-088</t>
  </si>
  <si>
    <t>Kantoormaatjes F2025-0804</t>
  </si>
  <si>
    <t>Brasserie De Waal</t>
  </si>
  <si>
    <t>Studio Lindenhof Webiste november Kwartet 2025</t>
  </si>
  <si>
    <t>Netwerkr betaald via Orion Beheer B.V.</t>
  </si>
  <si>
    <t>Duval &amp; Hartman B.V.</t>
  </si>
  <si>
    <t>Restora Techniek B.V.</t>
  </si>
  <si>
    <t>Stichting Groen Bouwen</t>
  </si>
  <si>
    <t>Nutsbedrijf Oostveen B.V.</t>
  </si>
  <si>
    <t>Sint Bonifatius</t>
  </si>
  <si>
    <t>Thermaflex Radiatoren B.V.</t>
  </si>
  <si>
    <t>Searchline Ireland Limited</t>
  </si>
  <si>
    <t>F2025-0801</t>
  </si>
  <si>
    <t>1122334455a</t>
  </si>
  <si>
    <t>2025-0077</t>
  </si>
  <si>
    <t>F2025-0802</t>
  </si>
  <si>
    <t>20008/25</t>
  </si>
  <si>
    <t>F2025-0803</t>
  </si>
  <si>
    <t>123-456-7890</t>
  </si>
  <si>
    <t>A1100X7PQ2</t>
  </si>
  <si>
    <t>ZQRTY7AB - 0001</t>
  </si>
  <si>
    <t>DZ&amp;PC</t>
  </si>
  <si>
    <t>HENIN0025953</t>
  </si>
  <si>
    <t>Netwerkr Ireland Unlimited Company</t>
  </si>
  <si>
    <t>Orion Beheer B.V.</t>
  </si>
  <si>
    <t>Parkhotel</t>
  </si>
  <si>
    <t>F2025-0804</t>
  </si>
  <si>
    <t>Burgerhuis</t>
  </si>
  <si>
    <t>Smaakhuis</t>
  </si>
  <si>
    <t>H242394960</t>
  </si>
  <si>
    <t>Het Marketingnest</t>
  </si>
  <si>
    <t>2025-088</t>
  </si>
  <si>
    <t>A1100XDZKK</t>
  </si>
  <si>
    <t>F2L13-25.022293</t>
  </si>
  <si>
    <t>Brasserie De Waal B.V.</t>
  </si>
  <si>
    <t>Studio Lindenhof</t>
  </si>
  <si>
    <t>2025-0155</t>
  </si>
  <si>
    <t>Restora Techniek 20258024</t>
  </si>
  <si>
    <t>Sint Bonifatius 20258027</t>
  </si>
  <si>
    <t>Spaarbank Kosten december 2025</t>
  </si>
  <si>
    <t>Softtech Ireland Operations Ltd november 2025</t>
  </si>
  <si>
    <t xml:space="preserve">Softtech Ireland Operations Ltd </t>
  </si>
  <si>
    <t>Softtech Ireland Operations Ltd december 2025</t>
  </si>
  <si>
    <t>Neurotext Ireland Limited 12-2025</t>
  </si>
  <si>
    <t>CONVENTA d.o.o. Ljubljana Deelname ICT EU Summit 2026</t>
  </si>
  <si>
    <t>Webgroei Online blogplaatsing</t>
  </si>
  <si>
    <t>Het Marketingnest Netwerkr campagnes Kwartet</t>
  </si>
  <si>
    <t xml:space="preserve">Studio Lindenhof GTM+Campaign updates, maintanence en design herziening december 2025 </t>
  </si>
  <si>
    <t>Searchline Ireland Limited Ads</t>
  </si>
  <si>
    <t>Netwerkr Ireland Unlimited Company Campaign december 2025</t>
  </si>
  <si>
    <t>Basilico Etentje met zakenrelatie</t>
  </si>
  <si>
    <t>Smaakhuis etentje met zakenrelatie</t>
  </si>
  <si>
    <t>Hotel De Zwaan Verteer</t>
  </si>
  <si>
    <t>AlpineAir Div. vluchten</t>
  </si>
  <si>
    <t>Hotel De Zwaan Hengelo</t>
  </si>
  <si>
    <t>Parkhotel Verteer</t>
  </si>
  <si>
    <t>De Pastamakers Verteer</t>
  </si>
  <si>
    <t>Parkhotel Room &amp; Breakfast Zutphen</t>
  </si>
  <si>
    <t>Burgerhuis Verteer</t>
  </si>
  <si>
    <t>DZ&amp;PC Sponsoring Aqua International Friendship Swimmeet 2025</t>
  </si>
  <si>
    <t>Spreekvaardig.nl - Basispakket</t>
  </si>
  <si>
    <t>Boekhandel De Olijfboom Vakblad Digitaal, Ondernemer Magazine en Management Review</t>
  </si>
  <si>
    <t>Kantoormaatjes betaling 1 van 4 admin. onderst.</t>
  </si>
  <si>
    <t>Kantoormaatjes betaling 2 van 4 admin. onderst.</t>
  </si>
  <si>
    <t>Kantoormaatjes Administratieve onderst. november 2025</t>
  </si>
  <si>
    <t>Kantoormaatjes Administratieve onderst. december 2025</t>
  </si>
  <si>
    <t>Orion Beheer B.V. Management fee november 2025</t>
  </si>
  <si>
    <t>Orion Beheer B.V. Management fee december 2025</t>
  </si>
  <si>
    <t>NL12SPAA0998877</t>
  </si>
  <si>
    <t>2025-11-27T23:00:00.000Z</t>
  </si>
  <si>
    <t>Nexora Consulting B.V. Strategisch advies Q4</t>
  </si>
  <si>
    <t>NX-2025-001</t>
  </si>
  <si>
    <t>Nexora Consulting B.V.</t>
  </si>
  <si>
    <t>2025-12-11T23:00:00.000Z</t>
  </si>
  <si>
    <t>NX-2025-002</t>
  </si>
  <si>
    <t>2025-12-28T23:00:00.000Z</t>
  </si>
  <si>
    <t>NX-2025-003</t>
  </si>
  <si>
    <t>Grootboekrekening: 1600: Crediteuren (Aantal=83)</t>
  </si>
  <si>
    <t>Grootboekrekening: 4911: Administratiekosten (Aantal=7)</t>
  </si>
  <si>
    <t>2025-08-08T22:00:00.000Z</t>
  </si>
  <si>
    <t>Juwelier Van Loon - herenhorloge</t>
  </si>
  <si>
    <t>2025-07-21T22:00:00.000Z</t>
  </si>
  <si>
    <t>Suntravel Reizen - zomervakantie gezin Mallorca</t>
  </si>
  <si>
    <t>2025-10-02T22:00:00.000Z</t>
  </si>
  <si>
    <t>Maison Lavelle - dameskleding najaarscollectie</t>
  </si>
  <si>
    <t>2025-12-04T23:00:00.000Z</t>
  </si>
  <si>
    <t>ElektroMax - gameconsole en televisie 65 inch</t>
  </si>
  <si>
    <t>Grootboekrekening: 4723: Reis- en verblijfkosten (Aantal=18)</t>
  </si>
  <si>
    <t>Grootboekrekening: 4911: Administratiekosten (Aantal=3)</t>
  </si>
  <si>
    <t>2025-12-18T23:00:00.000Z</t>
  </si>
  <si>
    <t>Kemperink Industrie B.V.</t>
  </si>
  <si>
    <t>2025-12-22T23:00:00.000Z</t>
  </si>
  <si>
    <t>Grootboekrekening: 1300: Debiteuren (Aantal=18)</t>
  </si>
  <si>
    <t>Kemperink Industrie B.V. vooruitontvangen</t>
  </si>
  <si>
    <t>Grootboekrekening: 1899: Overige kortlopende schulden (Aantal=3)</t>
  </si>
  <si>
    <t>2025-12-29T23:00:00.000Z</t>
  </si>
  <si>
    <t>Orion Beheer B.V. Storting rekening-courant</t>
  </si>
  <si>
    <t>Grootboekrekening: 1101: NL12SPAA0998877 (Aantal=75)</t>
  </si>
  <si>
    <t>Grootboekrekening: 1211: R/C Orion Beheer B.V. (Aantal=3)</t>
  </si>
  <si>
    <t>Alpenbank AG - Volstorten aandelen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</si>
</sst>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\-yyyy"/>
    <numFmt numFmtId="165" formatCode="#,##0.00;\-#,##0.00;&quot;&quot;"/>
  </numFmts>
  <fonts count="8">
    <font>
      <sz val="11"/>
      <color theme="1"/>
      <name val="Calibri"/>
      <family val="2"/>
      <scheme val="minor"/>
    </font>
    <font>
      <sz val="9"/>
      <name val="Segoe UI"/>
    </font>
    <font>
      <b/>
      <sz val="18"/>
      <name val="Calibri"/>
    </font>
    <font>
      <b/>
      <sz val="11"/>
      <name val="Segoe UI"/>
    </font>
    <font>
      <b/>
      <sz val="10"/>
      <name val="Segoe UI"/>
    </font>
    <font>
      <sz val="9"/>
      <name val="Segoe UI"/>
    </font>
    <font>
      <b/>
      <sz val="9"/>
      <name val="Segoe UI"/>
    </font>
    <font>
      <i/>
      <sz val="9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horizontal="right" vertical="center"/>
    </xf>
    <xf numFmtId="165" fontId="1" fillId="0" borderId="1" xfId="0" applyNumberFormat="1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4" fontId="1" fillId="0" borderId="1" xfId="0" applyNumberFormat="1" applyFont="1" applyBorder="1" applyAlignment="1">
      <alignment horizontal="right" vertical="center"/>
    </xf>
    <xf numFmtId="1" fontId="3" fillId="2" borderId="1" xfId="0" applyNumberFormat="1" applyFont="1" applyFill="1" applyBorder="1"/>
    <xf numFmtId="0" fontId="3" fillId="2" borderId="1" xfId="0" applyFont="1" applyFill="1" applyBorder="1"/>
    <xf numFmtId="164" fontId="3" fillId="2" borderId="1" xfId="0" applyNumberFormat="1" applyFont="1" applyFill="1" applyBorder="1"/>
    <xf numFmtId="165" fontId="3" fillId="2" borderId="1" xfId="0" applyNumberFormat="1" applyFont="1" applyFill="1" applyBorder="1"/>
    <xf numFmtId="4" fontId="3" fillId="2" borderId="1" xfId="0" applyNumberFormat="1" applyFont="1" applyFill="1" applyBorder="1"/>
    <xf numFmtId="1" fontId="4" fillId="0" borderId="1" xfId="0" applyNumberFormat="1" applyFont="1" applyBorder="1"/>
    <xf numFmtId="0" fontId="4" fillId="0" borderId="1" xfId="0" applyFont="1" applyBorder="1"/>
    <xf numFmtId="164" fontId="4" fillId="0" borderId="1" xfId="0" applyNumberFormat="1" applyFont="1" applyBorder="1"/>
    <xf numFmtId="165" fontId="4" fillId="0" borderId="1" xfId="0" applyNumberFormat="1" applyFont="1" applyBorder="1"/>
    <xf numFmtId="4" fontId="4" fillId="0" borderId="1" xfId="0" applyNumberFormat="1" applyFont="1" applyBorder="1"/>
    <xf numFmtId="165" fontId="5" fillId="0" borderId="1" xfId="0" applyNumberFormat="1" applyFont="1" applyBorder="1"/>
    <xf numFmtId="4" fontId="5" fillId="0" borderId="1" xfId="0" applyNumberFormat="1" applyFont="1" applyBorder="1"/>
    <xf numFmtId="0" fontId="5" fillId="0" borderId="1" xfId="0" applyFont="1" applyBorder="1" applyAlignment="1">
      <alignment horizontal="center" vertical="center"/>
    </xf>
    <xf numFmtId="0" fontId="6" fillId="0" borderId="1" xfId="0" applyFont="1" applyBorder="1"/>
    <xf numFmtId="4" fontId="6" fillId="0" borderId="1" xfId="0" applyNumberFormat="1" applyFont="1" applyBorder="1"/>
    <xf numFmtId="0" fontId="7" fillId="0" borderId="1" xfId="0" applyFont="1" applyBorder="1"/>
    <xf numFmtId="4" fontId="7" fillId="0" borderId="1" xfId="0" applyNumberFormat="1" applyFont="1" applyBorder="1"/>
    <xf numFmtId="0" fontId="2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horizontal="right" vertical="center"/>
    </xf>
    <xf numFmtId="165" fontId="1" fillId="0" borderId="1" xfId="0" applyNumberFormat="1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4" fontId="1" fillId="0" borderId="1" xfId="0" applyNumberFormat="1" applyFont="1" applyBorder="1" applyAlignment="1">
      <alignment horizontal="right" vertical="center"/>
    </xf>
    <xf numFmtId="1" fontId="1" fillId="0" borderId="1" xfId="0" applyNumberFormat="1" applyFont="1" applyBorder="1" applyAlignment="1">
      <alignment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383"/>
  <sheetViews>
    <sheetView tabSelected="1" workbookViewId="0">
      <pane ySplit="3" topLeftCell="A4" activePane="bottomLeft" state="frozen"/>
      <selection pane="bottomLeft" activeCell="D15" sqref="D15"/>
    </sheetView>
  </sheetViews>
  <sheetFormatPr defaultRowHeight="15" outlineLevelRow="1"/>
  <cols>
    <col min="1" max="1" width="11.140625" style="1" customWidth="1"/>
    <col min="2" max="2" width="21.85546875" style="2" bestFit="1" customWidth="1"/>
    <col min="3" max="3" width="10.28515625" style="3" customWidth="1"/>
    <col min="4" max="4" width="124.7109375" style="2" customWidth="1"/>
    <col min="5" max="5" width="27.140625" style="2" customWidth="1"/>
    <col min="6" max="6" width="12.42578125" style="4" customWidth="1"/>
    <col min="7" max="7" width="14.7109375" style="4" customWidth="1"/>
    <col min="8" max="8" width="9.42578125" style="5" customWidth="1"/>
    <col min="9" max="9" width="9.42578125" style="6" customWidth="1"/>
    <col min="10" max="10" width="7.7109375" style="4" customWidth="1"/>
    <col min="11" max="11" width="9.42578125" style="2" customWidth="1"/>
    <col min="12" max="12" width="11.140625" style="2" customWidth="1"/>
  </cols>
  <sheetData>
    <row r="1" spans="1:12">
      <c r="A1" s="24" t="s">
        <v>50</v>
      </c>
      <c r="B1" s="25"/>
      <c r="C1" s="26"/>
      <c r="D1" s="25"/>
      <c r="E1" s="25"/>
      <c r="F1" s="27"/>
      <c r="G1" s="27"/>
      <c r="H1" s="28"/>
      <c r="I1" s="29"/>
      <c r="J1" s="27"/>
      <c r="K1" s="25"/>
      <c r="L1" s="25"/>
    </row>
    <row r="2" spans="1:12">
      <c r="A2" s="30"/>
      <c r="B2" s="25"/>
      <c r="C2" s="26"/>
      <c r="D2" s="25"/>
      <c r="E2" s="25"/>
      <c r="F2" s="27"/>
      <c r="G2" s="27"/>
      <c r="H2" s="28"/>
      <c r="I2" s="29"/>
      <c r="J2" s="27"/>
      <c r="K2" s="25"/>
      <c r="L2" s="25"/>
    </row>
    <row r="3" spans="1:12" ht="16.5">
      <c r="A3" s="7" t="s">
        <v>0</v>
      </c>
      <c r="B3" s="8" t="s">
        <v>1</v>
      </c>
      <c r="C3" s="9" t="s">
        <v>2</v>
      </c>
      <c r="D3" s="8" t="s">
        <v>3</v>
      </c>
      <c r="E3" s="8" t="s">
        <v>4</v>
      </c>
      <c r="F3" s="10" t="s">
        <v>5</v>
      </c>
      <c r="G3" s="10" t="s">
        <v>6</v>
      </c>
      <c r="H3" s="11" t="s">
        <v>7</v>
      </c>
      <c r="I3" s="11" t="s">
        <v>8</v>
      </c>
      <c r="J3" s="10" t="s">
        <v>9</v>
      </c>
      <c r="K3" s="8" t="s">
        <v>10</v>
      </c>
      <c r="L3" s="8" t="s">
        <v>11</v>
      </c>
    </row>
    <row r="4" spans="1:12">
      <c r="A4" s="12" t="s">
        <v>12</v>
      </c>
      <c r="B4" s="13"/>
      <c r="C4" s="14"/>
      <c r="D4" s="13"/>
      <c r="E4" s="13"/>
      <c r="F4" s="15"/>
      <c r="G4" s="15"/>
      <c r="H4" s="16"/>
      <c r="I4" s="16"/>
      <c r="J4" s="15"/>
      <c r="K4" s="13"/>
      <c r="L4" s="13"/>
    </row>
    <row r="5" spans="1:12" outlineLevel="1">
      <c r="A5" s="1">
        <v>1101</v>
      </c>
      <c r="B5" s="2" t="s">
        <v>162</v>
      </c>
      <c r="C5" s="3">
        <v>45920</v>
      </c>
      <c r="D5" s="2" t="s">
        <v>193</v>
      </c>
      <c r="F5" s="17">
        <v>0</v>
      </c>
      <c r="G5" s="17">
        <v>360</v>
      </c>
      <c r="H5" s="18">
        <f>F5-G5</f>
        <v>-360</v>
      </c>
      <c r="I5" s="18">
        <f>H5</f>
        <v>-360</v>
      </c>
      <c r="J5" s="17">
        <v>0</v>
      </c>
      <c r="K5" s="19" t="s">
        <v>13</v>
      </c>
      <c r="L5" s="19" t="s">
        <v>13</v>
      </c>
    </row>
    <row r="6" spans="1:12" outlineLevel="1">
      <c r="A6" s="20"/>
      <c r="B6" s="20"/>
      <c r="C6" s="20"/>
      <c r="D6" s="20"/>
      <c r="E6" s="20"/>
      <c r="F6" s="21">
        <f>SUBTOTAL(9,F5:F5)</f>
        <v>0</v>
      </c>
      <c r="G6" s="21">
        <f>SUBTOTAL(9,G5:G5)</f>
        <v>360</v>
      </c>
      <c r="H6" s="21">
        <f>F6-G6</f>
        <v>-360</v>
      </c>
      <c r="I6" s="20"/>
      <c r="J6" s="20"/>
      <c r="K6" s="20"/>
      <c r="L6" s="20"/>
    </row>
    <row r="7" spans="1:12">
      <c r="A7" s="12" t="s">
        <v>14</v>
      </c>
      <c r="B7" s="13"/>
      <c r="C7" s="14"/>
      <c r="D7" s="13"/>
      <c r="E7" s="13"/>
      <c r="F7" s="15"/>
      <c r="G7" s="15"/>
      <c r="H7" s="16"/>
      <c r="I7" s="16"/>
      <c r="J7" s="15"/>
      <c r="K7" s="13"/>
      <c r="L7" s="13"/>
    </row>
    <row r="8" spans="1:12" outlineLevel="1">
      <c r="A8" s="1">
        <v>2011</v>
      </c>
      <c r="B8" s="2" t="s">
        <v>15</v>
      </c>
      <c r="C8" s="3">
        <v>46022</v>
      </c>
      <c r="D8" s="2" t="s">
        <v>16</v>
      </c>
      <c r="F8" s="17">
        <v>0</v>
      </c>
      <c r="G8" s="17">
        <v>39280.92</v>
      </c>
      <c r="H8" s="18">
        <f>F8-G8</f>
        <v>-39280.92</v>
      </c>
      <c r="I8" s="18">
        <f>H8</f>
        <v>-39280.92</v>
      </c>
      <c r="J8" s="17">
        <v>0</v>
      </c>
      <c r="K8" s="19" t="s">
        <v>13</v>
      </c>
      <c r="L8" s="19" t="s">
        <v>13</v>
      </c>
    </row>
    <row r="9" spans="1:12" outlineLevel="1">
      <c r="A9" s="20"/>
      <c r="B9" s="20"/>
      <c r="C9" s="20"/>
      <c r="D9" s="20"/>
      <c r="E9" s="20"/>
      <c r="F9" s="21">
        <f>SUBTOTAL(9,F8:F8)</f>
        <v>0</v>
      </c>
      <c r="G9" s="21">
        <f>SUBTOTAL(9,G8:G8)</f>
        <v>39280.92</v>
      </c>
      <c r="H9" s="21">
        <f>F9-G9</f>
        <v>-39280.92</v>
      </c>
      <c r="I9" s="20"/>
      <c r="J9" s="20"/>
      <c r="K9" s="20"/>
      <c r="L9" s="20"/>
    </row>
    <row r="10" spans="1:12">
      <c r="A10" s="12" t="s">
        <v>17</v>
      </c>
      <c r="B10" s="13"/>
      <c r="C10" s="14"/>
      <c r="D10" s="13"/>
      <c r="E10" s="13"/>
      <c r="F10" s="15"/>
      <c r="G10" s="15"/>
      <c r="H10" s="16"/>
      <c r="I10" s="16"/>
      <c r="J10" s="15"/>
      <c r="K10" s="13"/>
      <c r="L10" s="13"/>
    </row>
    <row r="11" spans="1:12" outlineLevel="1">
      <c r="A11" s="1">
        <v>1101</v>
      </c>
      <c r="B11" s="2" t="s">
        <v>162</v>
      </c>
      <c r="C11" s="3">
        <v>45940</v>
      </c>
      <c r="D11" s="2" t="s">
        <v>51</v>
      </c>
      <c r="F11" s="17">
        <v>30</v>
      </c>
      <c r="G11" s="17">
        <v>0</v>
      </c>
      <c r="H11" s="18">
        <f>F11-G11</f>
        <v>30</v>
      </c>
      <c r="I11" s="18">
        <f>H11</f>
        <v>30</v>
      </c>
      <c r="J11" s="17">
        <v>0</v>
      </c>
      <c r="K11" s="19" t="s">
        <v>13</v>
      </c>
      <c r="L11" s="19" t="s">
        <v>13</v>
      </c>
    </row>
    <row r="12" spans="1:12" outlineLevel="1">
      <c r="A12" s="1">
        <v>1101</v>
      </c>
      <c r="B12" s="2" t="s">
        <v>162</v>
      </c>
      <c r="C12" s="3">
        <v>45940</v>
      </c>
      <c r="D12" s="2" t="s">
        <v>51</v>
      </c>
      <c r="F12" s="17">
        <v>0</v>
      </c>
      <c r="G12" s="17">
        <v>30</v>
      </c>
      <c r="H12" s="18">
        <f>F12-G12</f>
        <v>-30</v>
      </c>
      <c r="I12" s="18">
        <f>I11+H12</f>
        <v>0</v>
      </c>
      <c r="J12" s="17">
        <v>0</v>
      </c>
      <c r="K12" s="19" t="s">
        <v>13</v>
      </c>
      <c r="L12" s="19" t="s">
        <v>13</v>
      </c>
    </row>
    <row r="13" spans="1:12" outlineLevel="1">
      <c r="A13" s="1">
        <v>1101</v>
      </c>
      <c r="B13" s="2" t="s">
        <v>162</v>
      </c>
      <c r="C13" s="3">
        <v>45981</v>
      </c>
      <c r="D13" s="2" t="s">
        <v>52</v>
      </c>
      <c r="F13" s="17">
        <v>30</v>
      </c>
      <c r="G13" s="17">
        <v>0</v>
      </c>
      <c r="H13" s="18">
        <f>F13-G13</f>
        <v>30</v>
      </c>
      <c r="I13" s="18">
        <f>I12+H13</f>
        <v>30</v>
      </c>
      <c r="J13" s="17">
        <v>0</v>
      </c>
      <c r="K13" s="19" t="s">
        <v>13</v>
      </c>
      <c r="L13" s="19" t="s">
        <v>13</v>
      </c>
    </row>
    <row r="14" spans="1:12" outlineLevel="1">
      <c r="A14" s="1">
        <v>1101</v>
      </c>
      <c r="B14" s="2" t="s">
        <v>162</v>
      </c>
      <c r="C14" s="3">
        <v>45981</v>
      </c>
      <c r="D14" s="2" t="s">
        <v>53</v>
      </c>
      <c r="F14" s="17">
        <v>0</v>
      </c>
      <c r="G14" s="17">
        <v>30</v>
      </c>
      <c r="H14" s="18">
        <f>F14-G14</f>
        <v>-30</v>
      </c>
      <c r="I14" s="18">
        <f>I13+H14</f>
        <v>0</v>
      </c>
      <c r="J14" s="17">
        <v>0</v>
      </c>
      <c r="K14" s="19" t="s">
        <v>13</v>
      </c>
      <c r="L14" s="19" t="s">
        <v>13</v>
      </c>
    </row>
    <row r="15" spans="1:12" outlineLevel="1">
      <c r="A15" s="20"/>
      <c r="B15" s="20"/>
      <c r="C15" s="20"/>
      <c r="D15" s="20"/>
      <c r="E15" s="20"/>
      <c r="F15" s="21">
        <f>SUBTOTAL(9,F11:F14)</f>
        <v>60</v>
      </c>
      <c r="G15" s="21">
        <f>SUBTOTAL(9,G11:G14)</f>
        <v>60</v>
      </c>
      <c r="H15" s="21">
        <f>F15-G15</f>
        <v>0</v>
      </c>
      <c r="I15" s="20"/>
      <c r="J15" s="20"/>
      <c r="K15" s="20"/>
      <c r="L15" s="20"/>
    </row>
    <row r="16" spans="1:12">
      <c r="A16" s="12" t="s">
        <v>191</v>
      </c>
      <c r="B16" s="13"/>
      <c r="C16" s="14"/>
      <c r="D16" s="13"/>
      <c r="E16" s="13"/>
      <c r="F16" s="15"/>
      <c r="G16" s="15"/>
      <c r="H16" s="16"/>
      <c r="I16" s="16"/>
      <c r="J16" s="15"/>
      <c r="K16" s="13"/>
      <c r="L16" s="13"/>
    </row>
    <row r="17" spans="1:12" outlineLevel="1">
      <c r="A17" s="1">
        <v>1101</v>
      </c>
      <c r="B17" s="2" t="s">
        <v>162</v>
      </c>
      <c r="C17" s="3">
        <v>45920</v>
      </c>
      <c r="D17" s="2" t="s">
        <v>54</v>
      </c>
      <c r="F17" s="17">
        <v>360</v>
      </c>
      <c r="G17" s="17">
        <v>0</v>
      </c>
      <c r="H17" s="18">
        <f>F17-G17</f>
        <v>360</v>
      </c>
      <c r="I17" s="18">
        <f>H17</f>
        <v>360</v>
      </c>
      <c r="J17" s="17">
        <v>0</v>
      </c>
      <c r="K17" s="19" t="s">
        <v>13</v>
      </c>
      <c r="L17" s="19" t="s">
        <v>13</v>
      </c>
    </row>
    <row r="18" spans="1:12" outlineLevel="1">
      <c r="A18" s="1">
        <v>1101</v>
      </c>
      <c r="B18" s="2" t="s">
        <v>162</v>
      </c>
      <c r="C18" s="3">
        <v>45920</v>
      </c>
      <c r="D18" s="2" t="s">
        <v>55</v>
      </c>
      <c r="F18" s="17">
        <v>3000</v>
      </c>
      <c r="G18" s="17">
        <v>0</v>
      </c>
      <c r="H18" s="18">
        <f>F18-G18</f>
        <v>3000</v>
      </c>
      <c r="I18" s="18">
        <f>I17+H18</f>
        <v>3360</v>
      </c>
      <c r="J18" s="17">
        <v>0</v>
      </c>
      <c r="K18" s="19" t="s">
        <v>13</v>
      </c>
      <c r="L18" s="19" t="s">
        <v>13</v>
      </c>
    </row>
    <row r="19" spans="1:12" outlineLevel="1">
      <c r="A19" s="1">
        <v>1101</v>
      </c>
      <c r="B19" s="2" t="s">
        <v>162</v>
      </c>
      <c r="C19" s="3">
        <v>45920</v>
      </c>
      <c r="D19" s="2" t="s">
        <v>56</v>
      </c>
      <c r="F19" s="17">
        <v>0</v>
      </c>
      <c r="G19" s="17">
        <v>884.82</v>
      </c>
      <c r="H19" s="18">
        <f>F19-G19</f>
        <v>-884.82</v>
      </c>
      <c r="I19" s="18">
        <f>I18+H19</f>
        <v>2475.1799999999998</v>
      </c>
      <c r="J19" s="17">
        <v>0</v>
      </c>
      <c r="K19" s="19" t="s">
        <v>13</v>
      </c>
      <c r="L19" s="19" t="s">
        <v>13</v>
      </c>
    </row>
    <row r="20" spans="1:12" outlineLevel="1">
      <c r="A20" s="1">
        <v>1101</v>
      </c>
      <c r="B20" s="2" t="s">
        <v>162</v>
      </c>
      <c r="C20" s="3">
        <v>45926</v>
      </c>
      <c r="D20" s="2" t="s">
        <v>57</v>
      </c>
      <c r="F20" s="17">
        <v>0</v>
      </c>
      <c r="G20" s="17">
        <v>30</v>
      </c>
      <c r="H20" s="18">
        <f>F20-G20</f>
        <v>-30</v>
      </c>
      <c r="I20" s="18">
        <f>I19+H20</f>
        <v>2445.1799999999998</v>
      </c>
      <c r="J20" s="17">
        <v>0</v>
      </c>
      <c r="K20" s="19" t="s">
        <v>13</v>
      </c>
      <c r="L20" s="19" t="s">
        <v>13</v>
      </c>
    </row>
    <row r="21" spans="1:12" outlineLevel="1">
      <c r="A21" s="1">
        <v>1101</v>
      </c>
      <c r="B21" s="2" t="s">
        <v>162</v>
      </c>
      <c r="C21" s="3">
        <v>45928</v>
      </c>
      <c r="D21" s="2" t="s">
        <v>57</v>
      </c>
      <c r="F21" s="17">
        <v>0</v>
      </c>
      <c r="G21" s="17">
        <v>150</v>
      </c>
      <c r="H21" s="18">
        <f>F21-G21</f>
        <v>-150</v>
      </c>
      <c r="I21" s="18">
        <f>I20+H21</f>
        <v>2295.1799999999998</v>
      </c>
      <c r="J21" s="17">
        <v>0</v>
      </c>
      <c r="K21" s="19" t="s">
        <v>13</v>
      </c>
      <c r="L21" s="19" t="s">
        <v>13</v>
      </c>
    </row>
    <row r="22" spans="1:12" outlineLevel="1">
      <c r="A22" s="1">
        <v>1101</v>
      </c>
      <c r="B22" s="2" t="s">
        <v>162</v>
      </c>
      <c r="C22" s="3">
        <v>45931</v>
      </c>
      <c r="D22" s="2" t="s">
        <v>57</v>
      </c>
      <c r="F22" s="17">
        <v>0</v>
      </c>
      <c r="G22" s="17">
        <v>119.94</v>
      </c>
      <c r="H22" s="18">
        <f>F22-G22</f>
        <v>-119.94</v>
      </c>
      <c r="I22" s="18">
        <f>I21+H22</f>
        <v>2175.2399999999998</v>
      </c>
      <c r="J22" s="17">
        <v>0</v>
      </c>
      <c r="K22" s="19" t="s">
        <v>13</v>
      </c>
      <c r="L22" s="19" t="s">
        <v>13</v>
      </c>
    </row>
    <row r="23" spans="1:12" outlineLevel="1">
      <c r="A23" s="1">
        <v>1101</v>
      </c>
      <c r="B23" s="2" t="s">
        <v>162</v>
      </c>
      <c r="C23" s="3">
        <v>45931</v>
      </c>
      <c r="D23" s="2" t="s">
        <v>58</v>
      </c>
      <c r="F23" s="17">
        <v>0</v>
      </c>
      <c r="G23" s="17">
        <v>64.23</v>
      </c>
      <c r="H23" s="18">
        <f>F23-G23</f>
        <v>-64.23</v>
      </c>
      <c r="I23" s="18">
        <f>I22+H23</f>
        <v>2111.0099999999998</v>
      </c>
      <c r="J23" s="17">
        <v>0</v>
      </c>
      <c r="K23" s="19" t="s">
        <v>13</v>
      </c>
      <c r="L23" s="19" t="s">
        <v>13</v>
      </c>
    </row>
    <row r="24" spans="1:12" outlineLevel="1">
      <c r="A24" s="1">
        <v>1101</v>
      </c>
      <c r="B24" s="2" t="s">
        <v>162</v>
      </c>
      <c r="C24" s="3">
        <v>45938</v>
      </c>
      <c r="D24" s="2" t="s">
        <v>59</v>
      </c>
      <c r="F24" s="17">
        <v>13884.75</v>
      </c>
      <c r="G24" s="17">
        <v>0</v>
      </c>
      <c r="H24" s="18">
        <f>F24-G24</f>
        <v>13884.75</v>
      </c>
      <c r="I24" s="18">
        <f>I23+H24</f>
        <v>15995.76</v>
      </c>
      <c r="J24" s="17">
        <v>0</v>
      </c>
      <c r="K24" s="19" t="s">
        <v>13</v>
      </c>
      <c r="L24" s="19" t="s">
        <v>13</v>
      </c>
    </row>
    <row r="25" spans="1:12" outlineLevel="1">
      <c r="A25" s="1">
        <v>1101</v>
      </c>
      <c r="B25" s="2" t="s">
        <v>162</v>
      </c>
      <c r="C25" s="3">
        <v>45940</v>
      </c>
      <c r="D25" s="2" t="s">
        <v>51</v>
      </c>
      <c r="F25" s="17">
        <v>0</v>
      </c>
      <c r="G25" s="17">
        <v>30</v>
      </c>
      <c r="H25" s="18">
        <f>F25-G25</f>
        <v>-30</v>
      </c>
      <c r="I25" s="18">
        <f>I24+H25</f>
        <v>15965.76</v>
      </c>
      <c r="J25" s="17">
        <v>0</v>
      </c>
      <c r="K25" s="19" t="s">
        <v>13</v>
      </c>
      <c r="L25" s="19" t="s">
        <v>13</v>
      </c>
    </row>
    <row r="26" spans="1:12" outlineLevel="1">
      <c r="A26" s="1">
        <v>1101</v>
      </c>
      <c r="B26" s="2" t="s">
        <v>162</v>
      </c>
      <c r="C26" s="3">
        <v>45940</v>
      </c>
      <c r="D26" s="2" t="s">
        <v>51</v>
      </c>
      <c r="F26" s="17">
        <v>30</v>
      </c>
      <c r="G26" s="17">
        <v>0</v>
      </c>
      <c r="H26" s="18">
        <f>F26-G26</f>
        <v>30</v>
      </c>
      <c r="I26" s="18">
        <f>I25+H26</f>
        <v>15995.76</v>
      </c>
      <c r="J26" s="17">
        <v>0</v>
      </c>
      <c r="K26" s="19" t="s">
        <v>13</v>
      </c>
      <c r="L26" s="19" t="s">
        <v>13</v>
      </c>
    </row>
    <row r="27" spans="1:12" outlineLevel="1">
      <c r="A27" s="1">
        <v>1101</v>
      </c>
      <c r="B27" s="2" t="s">
        <v>162</v>
      </c>
      <c r="C27" s="3">
        <v>45946</v>
      </c>
      <c r="D27" s="2" t="s">
        <v>60</v>
      </c>
      <c r="F27" s="17">
        <v>0</v>
      </c>
      <c r="G27" s="17">
        <v>1650</v>
      </c>
      <c r="H27" s="18">
        <f>F27-G27</f>
        <v>-1650</v>
      </c>
      <c r="I27" s="18">
        <f>I26+H27</f>
        <v>14345.76</v>
      </c>
      <c r="J27" s="17">
        <v>0</v>
      </c>
      <c r="K27" s="19" t="s">
        <v>13</v>
      </c>
      <c r="L27" s="19" t="s">
        <v>13</v>
      </c>
    </row>
    <row r="28" spans="1:12" outlineLevel="1">
      <c r="A28" s="1">
        <v>1101</v>
      </c>
      <c r="B28" s="2" t="s">
        <v>162</v>
      </c>
      <c r="C28" s="3">
        <v>45946</v>
      </c>
      <c r="D28" s="2" t="s">
        <v>56</v>
      </c>
      <c r="F28" s="17">
        <v>0</v>
      </c>
      <c r="G28" s="17">
        <v>884.82</v>
      </c>
      <c r="H28" s="18">
        <f>F28-G28</f>
        <v>-884.82</v>
      </c>
      <c r="I28" s="18">
        <f>I27+H28</f>
        <v>13460.94</v>
      </c>
      <c r="J28" s="17">
        <v>0</v>
      </c>
      <c r="K28" s="19" t="s">
        <v>13</v>
      </c>
      <c r="L28" s="19" t="s">
        <v>13</v>
      </c>
    </row>
    <row r="29" spans="1:12" outlineLevel="1">
      <c r="A29" s="1">
        <v>1101</v>
      </c>
      <c r="B29" s="2" t="s">
        <v>162</v>
      </c>
      <c r="C29" s="3">
        <v>45946</v>
      </c>
      <c r="D29" s="2" t="s">
        <v>61</v>
      </c>
      <c r="F29" s="17">
        <v>0</v>
      </c>
      <c r="G29" s="17">
        <v>600</v>
      </c>
      <c r="H29" s="18">
        <f>F29-G29</f>
        <v>-600</v>
      </c>
      <c r="I29" s="18">
        <f>I28+H29</f>
        <v>12860.94</v>
      </c>
      <c r="J29" s="17">
        <v>0</v>
      </c>
      <c r="K29" s="19" t="s">
        <v>13</v>
      </c>
      <c r="L29" s="19" t="s">
        <v>13</v>
      </c>
    </row>
    <row r="30" spans="1:12" outlineLevel="1">
      <c r="A30" s="1">
        <v>1101</v>
      </c>
      <c r="B30" s="2" t="s">
        <v>162</v>
      </c>
      <c r="C30" s="3">
        <v>45951</v>
      </c>
      <c r="D30" s="2" t="s">
        <v>59</v>
      </c>
      <c r="F30" s="17">
        <v>26998.14</v>
      </c>
      <c r="G30" s="17">
        <v>0</v>
      </c>
      <c r="H30" s="18">
        <f>F30-G30</f>
        <v>26998.14</v>
      </c>
      <c r="I30" s="18">
        <f>I29+H30</f>
        <v>39859.08</v>
      </c>
      <c r="J30" s="17">
        <v>0</v>
      </c>
      <c r="K30" s="19" t="s">
        <v>13</v>
      </c>
      <c r="L30" s="19" t="s">
        <v>13</v>
      </c>
    </row>
    <row r="31" spans="1:12" outlineLevel="1">
      <c r="A31" s="1">
        <v>1101</v>
      </c>
      <c r="B31" s="2" t="s">
        <v>162</v>
      </c>
      <c r="C31" s="3">
        <v>45956</v>
      </c>
      <c r="D31" s="2" t="s">
        <v>57</v>
      </c>
      <c r="F31" s="17">
        <v>0</v>
      </c>
      <c r="G31" s="17">
        <v>900</v>
      </c>
      <c r="H31" s="18">
        <f>F31-G31</f>
        <v>-900</v>
      </c>
      <c r="I31" s="18">
        <f>I30+H31</f>
        <v>38959.08</v>
      </c>
      <c r="J31" s="17">
        <v>0</v>
      </c>
      <c r="K31" s="19" t="s">
        <v>13</v>
      </c>
      <c r="L31" s="19" t="s">
        <v>13</v>
      </c>
    </row>
    <row r="32" spans="1:12" outlineLevel="1">
      <c r="A32" s="1">
        <v>1101</v>
      </c>
      <c r="B32" s="2" t="s">
        <v>162</v>
      </c>
      <c r="C32" s="3">
        <v>45957</v>
      </c>
      <c r="D32" s="2" t="s">
        <v>62</v>
      </c>
      <c r="F32" s="17">
        <v>0</v>
      </c>
      <c r="G32" s="17">
        <v>2253</v>
      </c>
      <c r="H32" s="18">
        <f>F32-G32</f>
        <v>-2253</v>
      </c>
      <c r="I32" s="18">
        <f>I31+H32</f>
        <v>36706.080000000002</v>
      </c>
      <c r="J32" s="17">
        <v>0</v>
      </c>
      <c r="K32" s="19" t="s">
        <v>13</v>
      </c>
      <c r="L32" s="19" t="s">
        <v>13</v>
      </c>
    </row>
    <row r="33" spans="1:12" outlineLevel="1">
      <c r="A33" s="1">
        <v>1101</v>
      </c>
      <c r="B33" s="2" t="s">
        <v>162</v>
      </c>
      <c r="C33" s="3">
        <v>45959</v>
      </c>
      <c r="D33" s="2" t="s">
        <v>63</v>
      </c>
      <c r="F33" s="17">
        <v>0</v>
      </c>
      <c r="G33" s="17">
        <v>94.5</v>
      </c>
      <c r="H33" s="18">
        <f>F33-G33</f>
        <v>-94.5</v>
      </c>
      <c r="I33" s="18">
        <f>I32+H33</f>
        <v>36611.58</v>
      </c>
      <c r="J33" s="17">
        <v>0</v>
      </c>
      <c r="K33" s="19" t="s">
        <v>13</v>
      </c>
      <c r="L33" s="19" t="s">
        <v>13</v>
      </c>
    </row>
    <row r="34" spans="1:12" outlineLevel="1">
      <c r="A34" s="1">
        <v>1101</v>
      </c>
      <c r="B34" s="2" t="s">
        <v>162</v>
      </c>
      <c r="C34" s="3">
        <v>45962</v>
      </c>
      <c r="D34" s="2" t="s">
        <v>64</v>
      </c>
      <c r="F34" s="17">
        <v>0</v>
      </c>
      <c r="G34" s="17">
        <v>311.22000000000003</v>
      </c>
      <c r="H34" s="18">
        <f>F34-G34</f>
        <v>-311.22000000000003</v>
      </c>
      <c r="I34" s="18">
        <f>I33+H34</f>
        <v>36300.36</v>
      </c>
      <c r="J34" s="17">
        <v>0</v>
      </c>
      <c r="K34" s="19" t="s">
        <v>13</v>
      </c>
      <c r="L34" s="19" t="s">
        <v>13</v>
      </c>
    </row>
    <row r="35" spans="1:12" outlineLevel="1">
      <c r="A35" s="1">
        <v>1101</v>
      </c>
      <c r="B35" s="2" t="s">
        <v>162</v>
      </c>
      <c r="C35" s="3">
        <v>45962</v>
      </c>
      <c r="D35" s="2" t="s">
        <v>65</v>
      </c>
      <c r="F35" s="17">
        <v>0</v>
      </c>
      <c r="G35" s="17">
        <v>66.84</v>
      </c>
      <c r="H35" s="18">
        <f>F35-G35</f>
        <v>-66.84</v>
      </c>
      <c r="I35" s="18">
        <f>I34+H35</f>
        <v>36233.520000000004</v>
      </c>
      <c r="J35" s="17">
        <v>0</v>
      </c>
      <c r="K35" s="19" t="s">
        <v>13</v>
      </c>
      <c r="L35" s="19" t="s">
        <v>13</v>
      </c>
    </row>
    <row r="36" spans="1:12" outlineLevel="1">
      <c r="A36" s="1">
        <v>1101</v>
      </c>
      <c r="B36" s="2" t="s">
        <v>162</v>
      </c>
      <c r="C36" s="3">
        <v>45966</v>
      </c>
      <c r="D36" s="2" t="s">
        <v>66</v>
      </c>
      <c r="F36" s="17">
        <v>0.21</v>
      </c>
      <c r="G36" s="17">
        <v>0</v>
      </c>
      <c r="H36" s="18">
        <f>F36-G36</f>
        <v>0.21</v>
      </c>
      <c r="I36" s="18">
        <f>I35+H36</f>
        <v>36233.730000000003</v>
      </c>
      <c r="J36" s="17">
        <v>0</v>
      </c>
      <c r="K36" s="19" t="s">
        <v>13</v>
      </c>
      <c r="L36" s="19" t="s">
        <v>13</v>
      </c>
    </row>
    <row r="37" spans="1:12" outlineLevel="1">
      <c r="A37" s="1">
        <v>1101</v>
      </c>
      <c r="B37" s="2" t="s">
        <v>162</v>
      </c>
      <c r="C37" s="3">
        <v>45966</v>
      </c>
      <c r="D37" s="2" t="s">
        <v>66</v>
      </c>
      <c r="F37" s="17">
        <v>0.24</v>
      </c>
      <c r="G37" s="17">
        <v>0</v>
      </c>
      <c r="H37" s="18">
        <f>F37-G37</f>
        <v>0.24</v>
      </c>
      <c r="I37" s="18">
        <f>I36+H37</f>
        <v>36233.97</v>
      </c>
      <c r="J37" s="17">
        <v>0</v>
      </c>
      <c r="K37" s="19" t="s">
        <v>13</v>
      </c>
      <c r="L37" s="19" t="s">
        <v>13</v>
      </c>
    </row>
    <row r="38" spans="1:12" outlineLevel="1">
      <c r="A38" s="1">
        <v>1101</v>
      </c>
      <c r="B38" s="2" t="s">
        <v>162</v>
      </c>
      <c r="C38" s="3">
        <v>45976</v>
      </c>
      <c r="D38" s="2" t="s">
        <v>67</v>
      </c>
      <c r="F38" s="17">
        <v>0</v>
      </c>
      <c r="G38" s="17">
        <v>709.71</v>
      </c>
      <c r="H38" s="18">
        <f>F38-G38</f>
        <v>-709.71</v>
      </c>
      <c r="I38" s="18">
        <f>I37+H38</f>
        <v>35524.26</v>
      </c>
      <c r="J38" s="17">
        <v>0</v>
      </c>
      <c r="K38" s="19" t="s">
        <v>13</v>
      </c>
      <c r="L38" s="19" t="s">
        <v>13</v>
      </c>
    </row>
    <row r="39" spans="1:12" outlineLevel="1">
      <c r="A39" s="1">
        <v>1101</v>
      </c>
      <c r="B39" s="2" t="s">
        <v>162</v>
      </c>
      <c r="C39" s="3">
        <v>45978</v>
      </c>
      <c r="D39" s="2" t="s">
        <v>68</v>
      </c>
      <c r="F39" s="17">
        <v>0</v>
      </c>
      <c r="G39" s="17">
        <v>884.82</v>
      </c>
      <c r="H39" s="18">
        <f>F39-G39</f>
        <v>-884.82</v>
      </c>
      <c r="I39" s="18">
        <f>I38+H39</f>
        <v>34639.440000000002</v>
      </c>
      <c r="J39" s="17">
        <v>0</v>
      </c>
      <c r="K39" s="19" t="s">
        <v>13</v>
      </c>
      <c r="L39" s="19" t="s">
        <v>13</v>
      </c>
    </row>
    <row r="40" spans="1:12" outlineLevel="1">
      <c r="A40" s="1">
        <v>1101</v>
      </c>
      <c r="B40" s="2" t="s">
        <v>162</v>
      </c>
      <c r="C40" s="3">
        <v>45979</v>
      </c>
      <c r="D40" s="2" t="s">
        <v>69</v>
      </c>
      <c r="F40" s="17">
        <v>38568.75</v>
      </c>
      <c r="G40" s="17">
        <v>0</v>
      </c>
      <c r="H40" s="18">
        <f>F40-G40</f>
        <v>38568.75</v>
      </c>
      <c r="I40" s="18">
        <f>I39+H40</f>
        <v>73208.19</v>
      </c>
      <c r="J40" s="17">
        <v>0</v>
      </c>
      <c r="K40" s="19" t="s">
        <v>13</v>
      </c>
      <c r="L40" s="19" t="s">
        <v>13</v>
      </c>
    </row>
    <row r="41" spans="1:12" outlineLevel="1">
      <c r="A41" s="1">
        <v>1101</v>
      </c>
      <c r="B41" s="2" t="s">
        <v>162</v>
      </c>
      <c r="C41" s="3">
        <v>45980</v>
      </c>
      <c r="D41" s="2" t="s">
        <v>70</v>
      </c>
      <c r="F41" s="17">
        <v>0</v>
      </c>
      <c r="G41" s="17">
        <v>805.62</v>
      </c>
      <c r="H41" s="18">
        <f>F41-G41</f>
        <v>-805.62</v>
      </c>
      <c r="I41" s="18">
        <f>I40+H41</f>
        <v>72402.570000000007</v>
      </c>
      <c r="J41" s="17">
        <v>0</v>
      </c>
      <c r="K41" s="19" t="s">
        <v>13</v>
      </c>
      <c r="L41" s="19" t="s">
        <v>13</v>
      </c>
    </row>
    <row r="42" spans="1:12" outlineLevel="1">
      <c r="A42" s="1">
        <v>1101</v>
      </c>
      <c r="B42" s="2" t="s">
        <v>162</v>
      </c>
      <c r="C42" s="3">
        <v>45980</v>
      </c>
      <c r="D42" s="2" t="s">
        <v>71</v>
      </c>
      <c r="F42" s="17">
        <v>0</v>
      </c>
      <c r="G42" s="17">
        <v>1200</v>
      </c>
      <c r="H42" s="18">
        <f>F42-G42</f>
        <v>-1200</v>
      </c>
      <c r="I42" s="18">
        <f>I41+H42</f>
        <v>71202.570000000007</v>
      </c>
      <c r="J42" s="17">
        <v>0</v>
      </c>
      <c r="K42" s="19" t="s">
        <v>13</v>
      </c>
      <c r="L42" s="19" t="s">
        <v>13</v>
      </c>
    </row>
    <row r="43" spans="1:12" outlineLevel="1">
      <c r="A43" s="1">
        <v>1101</v>
      </c>
      <c r="B43" s="2" t="s">
        <v>162</v>
      </c>
      <c r="C43" s="3">
        <v>45981</v>
      </c>
      <c r="D43" s="2" t="s">
        <v>52</v>
      </c>
      <c r="F43" s="17">
        <v>0</v>
      </c>
      <c r="G43" s="17">
        <v>30</v>
      </c>
      <c r="H43" s="18">
        <f>F43-G43</f>
        <v>-30</v>
      </c>
      <c r="I43" s="18">
        <f>I42+H43</f>
        <v>71172.570000000007</v>
      </c>
      <c r="J43" s="17">
        <v>0</v>
      </c>
      <c r="K43" s="19" t="s">
        <v>13</v>
      </c>
      <c r="L43" s="19" t="s">
        <v>13</v>
      </c>
    </row>
    <row r="44" spans="1:12" outlineLevel="1">
      <c r="A44" s="1">
        <v>1101</v>
      </c>
      <c r="B44" s="2" t="s">
        <v>162</v>
      </c>
      <c r="C44" s="3">
        <v>45981</v>
      </c>
      <c r="D44" s="2" t="s">
        <v>53</v>
      </c>
      <c r="F44" s="17">
        <v>30</v>
      </c>
      <c r="G44" s="17">
        <v>0</v>
      </c>
      <c r="H44" s="18">
        <f>F44-G44</f>
        <v>30</v>
      </c>
      <c r="I44" s="18">
        <f>I43+H44</f>
        <v>71202.570000000007</v>
      </c>
      <c r="J44" s="17">
        <v>0</v>
      </c>
      <c r="K44" s="19" t="s">
        <v>13</v>
      </c>
      <c r="L44" s="19" t="s">
        <v>13</v>
      </c>
    </row>
    <row r="45" spans="1:12" outlineLevel="1">
      <c r="A45" s="1">
        <v>1101</v>
      </c>
      <c r="B45" s="2" t="s">
        <v>162</v>
      </c>
      <c r="C45" s="3">
        <v>45982</v>
      </c>
      <c r="D45" s="2" t="s">
        <v>63</v>
      </c>
      <c r="F45" s="17">
        <v>0</v>
      </c>
      <c r="G45" s="17">
        <v>94.5</v>
      </c>
      <c r="H45" s="18">
        <f>F45-G45</f>
        <v>-94.5</v>
      </c>
      <c r="I45" s="18">
        <f>I44+H45</f>
        <v>71108.070000000007</v>
      </c>
      <c r="J45" s="17">
        <v>0</v>
      </c>
      <c r="K45" s="19" t="s">
        <v>13</v>
      </c>
      <c r="L45" s="19" t="s">
        <v>13</v>
      </c>
    </row>
    <row r="46" spans="1:12" outlineLevel="1">
      <c r="A46" s="1">
        <v>1101</v>
      </c>
      <c r="B46" s="2" t="s">
        <v>162</v>
      </c>
      <c r="C46" s="3">
        <v>45984</v>
      </c>
      <c r="D46" s="2" t="s">
        <v>61</v>
      </c>
      <c r="F46" s="17">
        <v>0</v>
      </c>
      <c r="G46" s="17">
        <v>30</v>
      </c>
      <c r="H46" s="18">
        <f>F46-G46</f>
        <v>-30</v>
      </c>
      <c r="I46" s="18">
        <f>I45+H46</f>
        <v>71078.070000000007</v>
      </c>
      <c r="J46" s="17">
        <v>0</v>
      </c>
      <c r="K46" s="19" t="s">
        <v>13</v>
      </c>
      <c r="L46" s="19" t="s">
        <v>13</v>
      </c>
    </row>
    <row r="47" spans="1:12" outlineLevel="1">
      <c r="A47" s="1">
        <v>1101</v>
      </c>
      <c r="B47" s="2" t="s">
        <v>162</v>
      </c>
      <c r="C47" s="3">
        <v>45985</v>
      </c>
      <c r="D47" s="2" t="s">
        <v>61</v>
      </c>
      <c r="F47" s="17">
        <v>0</v>
      </c>
      <c r="G47" s="17">
        <v>30</v>
      </c>
      <c r="H47" s="18">
        <f>F47-G47</f>
        <v>-30</v>
      </c>
      <c r="I47" s="18">
        <f>I46+H47</f>
        <v>71048.070000000007</v>
      </c>
      <c r="J47" s="17">
        <v>0</v>
      </c>
      <c r="K47" s="19" t="s">
        <v>13</v>
      </c>
      <c r="L47" s="19" t="s">
        <v>13</v>
      </c>
    </row>
    <row r="48" spans="1:12" outlineLevel="1">
      <c r="A48" s="1">
        <v>1101</v>
      </c>
      <c r="B48" s="2" t="s">
        <v>162</v>
      </c>
      <c r="C48" s="3">
        <v>45986</v>
      </c>
      <c r="D48" s="2" t="s">
        <v>61</v>
      </c>
      <c r="F48" s="17">
        <v>0</v>
      </c>
      <c r="G48" s="17">
        <v>150</v>
      </c>
      <c r="H48" s="18">
        <f>F48-G48</f>
        <v>-150</v>
      </c>
      <c r="I48" s="18">
        <f>I47+H48</f>
        <v>70898.070000000007</v>
      </c>
      <c r="J48" s="17">
        <v>0</v>
      </c>
      <c r="K48" s="19" t="s">
        <v>13</v>
      </c>
      <c r="L48" s="19" t="s">
        <v>13</v>
      </c>
    </row>
    <row r="49" spans="1:12" outlineLevel="1">
      <c r="A49" s="1">
        <v>1101</v>
      </c>
      <c r="B49" s="2" t="s">
        <v>162</v>
      </c>
      <c r="C49" s="3">
        <v>45988</v>
      </c>
      <c r="D49" s="2" t="s">
        <v>61</v>
      </c>
      <c r="F49" s="17">
        <v>0</v>
      </c>
      <c r="G49" s="17">
        <v>150</v>
      </c>
      <c r="H49" s="18">
        <f>F49-G49</f>
        <v>-150</v>
      </c>
      <c r="I49" s="18">
        <f>I48+H49</f>
        <v>70748.070000000007</v>
      </c>
      <c r="J49" s="17">
        <v>0</v>
      </c>
      <c r="K49" s="19" t="s">
        <v>13</v>
      </c>
      <c r="L49" s="19" t="s">
        <v>13</v>
      </c>
    </row>
    <row r="50" spans="1:12" outlineLevel="1">
      <c r="A50" s="1">
        <v>1101</v>
      </c>
      <c r="B50" s="2" t="s">
        <v>162</v>
      </c>
      <c r="C50" s="3">
        <v>45988</v>
      </c>
      <c r="D50" s="2" t="s">
        <v>61</v>
      </c>
      <c r="F50" s="17">
        <v>0</v>
      </c>
      <c r="G50" s="17">
        <v>23.01</v>
      </c>
      <c r="H50" s="18">
        <f>F50-G50</f>
        <v>-23.01</v>
      </c>
      <c r="I50" s="18">
        <f>I49+H50</f>
        <v>70725.060000000012</v>
      </c>
      <c r="J50" s="17">
        <v>0</v>
      </c>
      <c r="K50" s="19" t="s">
        <v>13</v>
      </c>
      <c r="L50" s="19" t="s">
        <v>13</v>
      </c>
    </row>
    <row r="51" spans="1:12" outlineLevel="1">
      <c r="A51" s="1">
        <v>1101</v>
      </c>
      <c r="B51" s="2" t="s">
        <v>162</v>
      </c>
      <c r="C51" s="3">
        <v>45991</v>
      </c>
      <c r="D51" s="2" t="s">
        <v>63</v>
      </c>
      <c r="F51" s="17">
        <v>0</v>
      </c>
      <c r="G51" s="17">
        <v>57</v>
      </c>
      <c r="H51" s="18">
        <f>F51-G51</f>
        <v>-57</v>
      </c>
      <c r="I51" s="18">
        <f>I50+H51</f>
        <v>70668.060000000012</v>
      </c>
      <c r="J51" s="17">
        <v>0</v>
      </c>
      <c r="K51" s="19" t="s">
        <v>13</v>
      </c>
      <c r="L51" s="19" t="s">
        <v>13</v>
      </c>
    </row>
    <row r="52" spans="1:12" outlineLevel="1">
      <c r="A52" s="1">
        <v>1101</v>
      </c>
      <c r="B52" s="2" t="s">
        <v>162</v>
      </c>
      <c r="C52" s="3">
        <v>45992</v>
      </c>
      <c r="D52" s="2" t="s">
        <v>72</v>
      </c>
      <c r="F52" s="17">
        <v>0</v>
      </c>
      <c r="G52" s="17">
        <v>57.03</v>
      </c>
      <c r="H52" s="18">
        <f>F52-G52</f>
        <v>-57.03</v>
      </c>
      <c r="I52" s="18">
        <f>I51+H52</f>
        <v>70611.030000000013</v>
      </c>
      <c r="J52" s="17">
        <v>0</v>
      </c>
      <c r="K52" s="19" t="s">
        <v>13</v>
      </c>
      <c r="L52" s="19" t="s">
        <v>13</v>
      </c>
    </row>
    <row r="53" spans="1:12" outlineLevel="1">
      <c r="A53" s="1">
        <v>1101</v>
      </c>
      <c r="B53" s="2" t="s">
        <v>162</v>
      </c>
      <c r="C53" s="3">
        <v>45992</v>
      </c>
      <c r="D53" s="2" t="s">
        <v>61</v>
      </c>
      <c r="F53" s="17">
        <v>0</v>
      </c>
      <c r="G53" s="17">
        <v>105.09</v>
      </c>
      <c r="H53" s="18">
        <f>F53-G53</f>
        <v>-105.09</v>
      </c>
      <c r="I53" s="18">
        <f>I52+H53</f>
        <v>70505.940000000017</v>
      </c>
      <c r="J53" s="17">
        <v>0</v>
      </c>
      <c r="K53" s="19" t="s">
        <v>13</v>
      </c>
      <c r="L53" s="19" t="s">
        <v>13</v>
      </c>
    </row>
    <row r="54" spans="1:12" outlineLevel="1">
      <c r="A54" s="1">
        <v>1101</v>
      </c>
      <c r="B54" s="2" t="s">
        <v>162</v>
      </c>
      <c r="C54" s="3">
        <v>45992</v>
      </c>
      <c r="D54" s="2" t="s">
        <v>73</v>
      </c>
      <c r="F54" s="17">
        <v>0</v>
      </c>
      <c r="G54" s="17">
        <v>68.55</v>
      </c>
      <c r="H54" s="18">
        <f>F54-G54</f>
        <v>-68.55</v>
      </c>
      <c r="I54" s="18">
        <f>I53+H54</f>
        <v>70437.390000000014</v>
      </c>
      <c r="J54" s="17">
        <v>0</v>
      </c>
      <c r="K54" s="19" t="s">
        <v>13</v>
      </c>
      <c r="L54" s="19" t="s">
        <v>13</v>
      </c>
    </row>
    <row r="55" spans="1:12" outlineLevel="1">
      <c r="A55" s="1">
        <v>1101</v>
      </c>
      <c r="B55" s="2" t="s">
        <v>162</v>
      </c>
      <c r="C55" s="3">
        <v>45993</v>
      </c>
      <c r="D55" s="2" t="s">
        <v>74</v>
      </c>
      <c r="F55" s="17">
        <v>0</v>
      </c>
      <c r="G55" s="17">
        <v>450</v>
      </c>
      <c r="H55" s="18">
        <f>F55-G55</f>
        <v>-450</v>
      </c>
      <c r="I55" s="18">
        <f>I54+H55</f>
        <v>69987.390000000014</v>
      </c>
      <c r="J55" s="17">
        <v>0</v>
      </c>
      <c r="K55" s="19" t="s">
        <v>13</v>
      </c>
      <c r="L55" s="19" t="s">
        <v>13</v>
      </c>
    </row>
    <row r="56" spans="1:12" outlineLevel="1">
      <c r="A56" s="1">
        <v>1101</v>
      </c>
      <c r="B56" s="2" t="s">
        <v>162</v>
      </c>
      <c r="C56" s="3">
        <v>45994</v>
      </c>
      <c r="D56" s="2" t="s">
        <v>75</v>
      </c>
      <c r="F56" s="17">
        <v>0</v>
      </c>
      <c r="G56" s="17">
        <v>42.48</v>
      </c>
      <c r="H56" s="18">
        <f>F56-G56</f>
        <v>-42.48</v>
      </c>
      <c r="I56" s="18">
        <f>I55+H56</f>
        <v>69944.910000000018</v>
      </c>
      <c r="J56" s="17">
        <v>0</v>
      </c>
      <c r="K56" s="19" t="s">
        <v>13</v>
      </c>
      <c r="L56" s="19" t="s">
        <v>13</v>
      </c>
    </row>
    <row r="57" spans="1:12" outlineLevel="1">
      <c r="A57" s="1">
        <v>1101</v>
      </c>
      <c r="B57" s="2" t="s">
        <v>162</v>
      </c>
      <c r="C57" s="3">
        <v>45994</v>
      </c>
      <c r="D57" s="2" t="s">
        <v>76</v>
      </c>
      <c r="F57" s="17">
        <v>0</v>
      </c>
      <c r="G57" s="17">
        <v>441.81</v>
      </c>
      <c r="H57" s="18">
        <f>F57-G57</f>
        <v>-441.81</v>
      </c>
      <c r="I57" s="18">
        <f>I56+H57</f>
        <v>69503.10000000002</v>
      </c>
      <c r="J57" s="17">
        <v>0</v>
      </c>
      <c r="K57" s="19" t="s">
        <v>13</v>
      </c>
      <c r="L57" s="19" t="s">
        <v>13</v>
      </c>
    </row>
    <row r="58" spans="1:12" outlineLevel="1">
      <c r="A58" s="1">
        <v>1101</v>
      </c>
      <c r="B58" s="2" t="s">
        <v>162</v>
      </c>
      <c r="C58" s="3">
        <v>45996</v>
      </c>
      <c r="D58" s="2" t="s">
        <v>77</v>
      </c>
      <c r="F58" s="17">
        <v>0</v>
      </c>
      <c r="G58" s="17">
        <v>602.1</v>
      </c>
      <c r="H58" s="18">
        <f>F58-G58</f>
        <v>-602.1</v>
      </c>
      <c r="I58" s="18">
        <f>I57+H58</f>
        <v>68901.000000000015</v>
      </c>
      <c r="J58" s="17">
        <v>0</v>
      </c>
      <c r="K58" s="19" t="s">
        <v>13</v>
      </c>
      <c r="L58" s="19" t="s">
        <v>13</v>
      </c>
    </row>
    <row r="59" spans="1:12" outlineLevel="1">
      <c r="A59" s="1">
        <v>1101</v>
      </c>
      <c r="B59" s="2" t="s">
        <v>162</v>
      </c>
      <c r="C59" s="3">
        <v>45996</v>
      </c>
      <c r="D59" s="2" t="s">
        <v>78</v>
      </c>
      <c r="F59" s="17">
        <v>0</v>
      </c>
      <c r="G59" s="17">
        <v>84</v>
      </c>
      <c r="H59" s="18">
        <f>F59-G59</f>
        <v>-84</v>
      </c>
      <c r="I59" s="18">
        <f>I58+H59</f>
        <v>68817.000000000015</v>
      </c>
      <c r="J59" s="17">
        <v>0</v>
      </c>
      <c r="K59" s="19" t="s">
        <v>13</v>
      </c>
      <c r="L59" s="19" t="s">
        <v>13</v>
      </c>
    </row>
    <row r="60" spans="1:12" outlineLevel="1">
      <c r="A60" s="1">
        <v>1101</v>
      </c>
      <c r="B60" s="2" t="s">
        <v>162</v>
      </c>
      <c r="C60" s="3">
        <v>46001</v>
      </c>
      <c r="D60" s="2" t="s">
        <v>79</v>
      </c>
      <c r="F60" s="17">
        <v>0</v>
      </c>
      <c r="G60" s="17">
        <v>272.25</v>
      </c>
      <c r="H60" s="18">
        <f>F60-G60</f>
        <v>-272.25</v>
      </c>
      <c r="I60" s="18">
        <f>I59+H60</f>
        <v>68544.750000000015</v>
      </c>
      <c r="J60" s="17">
        <v>0</v>
      </c>
      <c r="K60" s="19" t="s">
        <v>13</v>
      </c>
      <c r="L60" s="19" t="s">
        <v>13</v>
      </c>
    </row>
    <row r="61" spans="1:12" outlineLevel="1">
      <c r="A61" s="1">
        <v>1101</v>
      </c>
      <c r="B61" s="2" t="s">
        <v>162</v>
      </c>
      <c r="C61" s="3">
        <v>46001</v>
      </c>
      <c r="D61" s="2" t="s">
        <v>80</v>
      </c>
      <c r="F61" s="17">
        <v>0</v>
      </c>
      <c r="G61" s="17">
        <v>144.30000000000001</v>
      </c>
      <c r="H61" s="18">
        <f>F61-G61</f>
        <v>-144.30000000000001</v>
      </c>
      <c r="I61" s="18">
        <f>I60+H61</f>
        <v>68400.450000000012</v>
      </c>
      <c r="J61" s="17">
        <v>0</v>
      </c>
      <c r="K61" s="19" t="s">
        <v>13</v>
      </c>
      <c r="L61" s="19" t="s">
        <v>13</v>
      </c>
    </row>
    <row r="62" spans="1:12" outlineLevel="1">
      <c r="A62" s="1">
        <v>1101</v>
      </c>
      <c r="B62" s="2" t="s">
        <v>162</v>
      </c>
      <c r="C62" s="3">
        <v>46001</v>
      </c>
      <c r="D62" s="2" t="s">
        <v>80</v>
      </c>
      <c r="F62" s="17">
        <v>0</v>
      </c>
      <c r="G62" s="17">
        <v>30</v>
      </c>
      <c r="H62" s="18">
        <f>F62-G62</f>
        <v>-30</v>
      </c>
      <c r="I62" s="18">
        <f>I61+H62</f>
        <v>68370.450000000012</v>
      </c>
      <c r="J62" s="17">
        <v>0</v>
      </c>
      <c r="K62" s="19" t="s">
        <v>13</v>
      </c>
      <c r="L62" s="19" t="s">
        <v>13</v>
      </c>
    </row>
    <row r="63" spans="1:12" outlineLevel="1">
      <c r="A63" s="1">
        <v>1101</v>
      </c>
      <c r="B63" s="2" t="s">
        <v>162</v>
      </c>
      <c r="C63" s="3">
        <v>46002</v>
      </c>
      <c r="D63" s="2" t="s">
        <v>81</v>
      </c>
      <c r="F63" s="17">
        <v>0</v>
      </c>
      <c r="G63" s="17">
        <v>21.15</v>
      </c>
      <c r="H63" s="18">
        <f>F63-G63</f>
        <v>-21.15</v>
      </c>
      <c r="I63" s="18">
        <f>I62+H63</f>
        <v>68349.300000000017</v>
      </c>
      <c r="J63" s="17">
        <v>0</v>
      </c>
      <c r="K63" s="19" t="s">
        <v>13</v>
      </c>
      <c r="L63" s="19" t="s">
        <v>13</v>
      </c>
    </row>
    <row r="64" spans="1:12" outlineLevel="1">
      <c r="A64" s="1">
        <v>1101</v>
      </c>
      <c r="B64" s="2" t="s">
        <v>162</v>
      </c>
      <c r="C64" s="3">
        <v>46002</v>
      </c>
      <c r="D64" s="2" t="s">
        <v>80</v>
      </c>
      <c r="F64" s="17">
        <v>0</v>
      </c>
      <c r="G64" s="17">
        <v>15.57</v>
      </c>
      <c r="H64" s="18">
        <f>F64-G64</f>
        <v>-15.57</v>
      </c>
      <c r="I64" s="18">
        <f>I63+H64</f>
        <v>68333.73000000001</v>
      </c>
      <c r="J64" s="17">
        <v>0</v>
      </c>
      <c r="K64" s="19" t="s">
        <v>13</v>
      </c>
      <c r="L64" s="19" t="s">
        <v>13</v>
      </c>
    </row>
    <row r="65" spans="1:12" outlineLevel="1">
      <c r="A65" s="1">
        <v>1101</v>
      </c>
      <c r="B65" s="2" t="s">
        <v>162</v>
      </c>
      <c r="C65" s="3">
        <v>46003</v>
      </c>
      <c r="D65" s="2" t="s">
        <v>80</v>
      </c>
      <c r="F65" s="17">
        <v>0</v>
      </c>
      <c r="G65" s="17">
        <v>135</v>
      </c>
      <c r="H65" s="18">
        <f>F65-G65</f>
        <v>-135</v>
      </c>
      <c r="I65" s="18">
        <f>I64+H65</f>
        <v>68198.73000000001</v>
      </c>
      <c r="J65" s="17">
        <v>0</v>
      </c>
      <c r="K65" s="19" t="s">
        <v>13</v>
      </c>
      <c r="L65" s="19" t="s">
        <v>13</v>
      </c>
    </row>
    <row r="66" spans="1:12" outlineLevel="1">
      <c r="A66" s="1">
        <v>1101</v>
      </c>
      <c r="B66" s="2" t="s">
        <v>162</v>
      </c>
      <c r="C66" s="3">
        <v>46003</v>
      </c>
      <c r="D66" s="2" t="s">
        <v>82</v>
      </c>
      <c r="F66" s="17">
        <v>0</v>
      </c>
      <c r="G66" s="17">
        <v>61.65</v>
      </c>
      <c r="H66" s="18">
        <f>F66-G66</f>
        <v>-61.65</v>
      </c>
      <c r="I66" s="18">
        <f>I65+H66</f>
        <v>68137.080000000016</v>
      </c>
      <c r="J66" s="17">
        <v>0</v>
      </c>
      <c r="K66" s="19" t="s">
        <v>13</v>
      </c>
      <c r="L66" s="19" t="s">
        <v>13</v>
      </c>
    </row>
    <row r="67" spans="1:12" outlineLevel="1">
      <c r="A67" s="1">
        <v>1101</v>
      </c>
      <c r="B67" s="2" t="s">
        <v>162</v>
      </c>
      <c r="C67" s="3">
        <v>46003</v>
      </c>
      <c r="D67" s="2" t="s">
        <v>81</v>
      </c>
      <c r="F67" s="17">
        <v>0</v>
      </c>
      <c r="G67" s="17">
        <v>22.2</v>
      </c>
      <c r="H67" s="18">
        <f>F67-G67</f>
        <v>-22.2</v>
      </c>
      <c r="I67" s="18">
        <f>I66+H67</f>
        <v>68114.880000000019</v>
      </c>
      <c r="J67" s="17">
        <v>0</v>
      </c>
      <c r="K67" s="19" t="s">
        <v>13</v>
      </c>
      <c r="L67" s="19" t="s">
        <v>13</v>
      </c>
    </row>
    <row r="68" spans="1:12" outlineLevel="1">
      <c r="A68" s="1">
        <v>1101</v>
      </c>
      <c r="B68" s="2" t="s">
        <v>162</v>
      </c>
      <c r="C68" s="3">
        <v>46004</v>
      </c>
      <c r="D68" s="2" t="s">
        <v>83</v>
      </c>
      <c r="F68" s="17">
        <v>0</v>
      </c>
      <c r="G68" s="17">
        <v>834</v>
      </c>
      <c r="H68" s="18">
        <f>F68-G68</f>
        <v>-834</v>
      </c>
      <c r="I68" s="18">
        <f>I67+H68</f>
        <v>67280.880000000019</v>
      </c>
      <c r="J68" s="17">
        <v>0</v>
      </c>
      <c r="K68" s="19" t="s">
        <v>13</v>
      </c>
      <c r="L68" s="19" t="s">
        <v>13</v>
      </c>
    </row>
    <row r="69" spans="1:12" outlineLevel="1">
      <c r="A69" s="1">
        <v>1101</v>
      </c>
      <c r="B69" s="2" t="s">
        <v>162</v>
      </c>
      <c r="C69" s="3">
        <v>46004</v>
      </c>
      <c r="D69" s="2" t="s">
        <v>84</v>
      </c>
      <c r="F69" s="17">
        <v>0</v>
      </c>
      <c r="G69" s="17">
        <v>180</v>
      </c>
      <c r="H69" s="18">
        <f>F69-G69</f>
        <v>-180</v>
      </c>
      <c r="I69" s="18">
        <f>I68+H69</f>
        <v>67100.880000000019</v>
      </c>
      <c r="J69" s="17">
        <v>0</v>
      </c>
      <c r="K69" s="19" t="s">
        <v>13</v>
      </c>
      <c r="L69" s="19" t="s">
        <v>13</v>
      </c>
    </row>
    <row r="70" spans="1:12" outlineLevel="1">
      <c r="A70" s="1">
        <v>1101</v>
      </c>
      <c r="B70" s="2" t="s">
        <v>162</v>
      </c>
      <c r="C70" s="3">
        <v>46005</v>
      </c>
      <c r="D70" s="2" t="s">
        <v>61</v>
      </c>
      <c r="F70" s="17">
        <v>0</v>
      </c>
      <c r="G70" s="17">
        <v>600</v>
      </c>
      <c r="H70" s="18">
        <f>F70-G70</f>
        <v>-600</v>
      </c>
      <c r="I70" s="18">
        <f>I69+H70</f>
        <v>66500.880000000019</v>
      </c>
      <c r="J70" s="17">
        <v>0</v>
      </c>
      <c r="K70" s="19" t="s">
        <v>13</v>
      </c>
      <c r="L70" s="19" t="s">
        <v>13</v>
      </c>
    </row>
    <row r="71" spans="1:12" outlineLevel="1">
      <c r="A71" s="1">
        <v>1101</v>
      </c>
      <c r="B71" s="2" t="s">
        <v>162</v>
      </c>
      <c r="C71" s="3">
        <v>46008</v>
      </c>
      <c r="D71" s="2" t="s">
        <v>85</v>
      </c>
      <c r="F71" s="17">
        <v>0</v>
      </c>
      <c r="G71" s="17">
        <v>45</v>
      </c>
      <c r="H71" s="18">
        <f>F71-G71</f>
        <v>-45</v>
      </c>
      <c r="I71" s="18">
        <f>I70+H71</f>
        <v>66455.880000000019</v>
      </c>
      <c r="J71" s="17">
        <v>0</v>
      </c>
      <c r="K71" s="19" t="s">
        <v>13</v>
      </c>
      <c r="L71" s="19" t="s">
        <v>13</v>
      </c>
    </row>
    <row r="72" spans="1:12" outlineLevel="1">
      <c r="A72" s="1">
        <v>1101</v>
      </c>
      <c r="B72" s="2" t="s">
        <v>162</v>
      </c>
      <c r="C72" s="3">
        <v>46009</v>
      </c>
      <c r="D72" s="2" t="s">
        <v>61</v>
      </c>
      <c r="F72" s="17">
        <v>0</v>
      </c>
      <c r="G72" s="17">
        <v>900</v>
      </c>
      <c r="H72" s="18">
        <f>F72-G72</f>
        <v>-900</v>
      </c>
      <c r="I72" s="18">
        <f>I71+H72</f>
        <v>65555.880000000019</v>
      </c>
      <c r="J72" s="17">
        <v>0</v>
      </c>
      <c r="K72" s="19" t="s">
        <v>13</v>
      </c>
      <c r="L72" s="19" t="s">
        <v>13</v>
      </c>
    </row>
    <row r="73" spans="1:12" outlineLevel="1">
      <c r="A73" s="1">
        <v>1101</v>
      </c>
      <c r="B73" s="2" t="s">
        <v>162</v>
      </c>
      <c r="C73" s="3">
        <v>46009</v>
      </c>
      <c r="D73" s="2" t="s">
        <v>86</v>
      </c>
      <c r="F73" s="17">
        <v>0</v>
      </c>
      <c r="G73" s="17">
        <v>21780</v>
      </c>
      <c r="H73" s="18">
        <f>F73-G73</f>
        <v>-21780</v>
      </c>
      <c r="I73" s="18">
        <f>I72+H73</f>
        <v>43775.880000000019</v>
      </c>
      <c r="J73" s="17">
        <v>0</v>
      </c>
      <c r="K73" s="19" t="s">
        <v>13</v>
      </c>
      <c r="L73" s="19" t="s">
        <v>13</v>
      </c>
    </row>
    <row r="74" spans="1:12" outlineLevel="1">
      <c r="A74" s="1">
        <v>1101</v>
      </c>
      <c r="B74" s="2" t="s">
        <v>162</v>
      </c>
      <c r="C74" s="3">
        <v>46010</v>
      </c>
      <c r="D74" s="2" t="s">
        <v>87</v>
      </c>
      <c r="F74" s="17">
        <v>25406.37</v>
      </c>
      <c r="G74" s="17">
        <v>0</v>
      </c>
      <c r="H74" s="18">
        <f>F74-G74</f>
        <v>25406.37</v>
      </c>
      <c r="I74" s="18">
        <f>I73+H74</f>
        <v>69182.250000000015</v>
      </c>
      <c r="J74" s="17">
        <v>0</v>
      </c>
      <c r="K74" s="19" t="s">
        <v>13</v>
      </c>
      <c r="L74" s="19" t="s">
        <v>13</v>
      </c>
    </row>
    <row r="75" spans="1:12" outlineLevel="1">
      <c r="A75" s="1">
        <v>1101</v>
      </c>
      <c r="B75" s="2" t="s">
        <v>162</v>
      </c>
      <c r="C75" s="3">
        <v>46010</v>
      </c>
      <c r="D75" s="2" t="s">
        <v>88</v>
      </c>
      <c r="F75" s="17">
        <v>0</v>
      </c>
      <c r="G75" s="17">
        <v>21780</v>
      </c>
      <c r="H75" s="18">
        <f>F75-G75</f>
        <v>-21780</v>
      </c>
      <c r="I75" s="18">
        <f>I74+H75</f>
        <v>47402.250000000015</v>
      </c>
      <c r="J75" s="17">
        <v>0</v>
      </c>
      <c r="K75" s="19" t="s">
        <v>13</v>
      </c>
      <c r="L75" s="19" t="s">
        <v>13</v>
      </c>
    </row>
    <row r="76" spans="1:12" outlineLevel="1">
      <c r="A76" s="1">
        <v>1101</v>
      </c>
      <c r="B76" s="2" t="s">
        <v>162</v>
      </c>
      <c r="C76" s="3">
        <v>46011</v>
      </c>
      <c r="D76" s="2" t="s">
        <v>89</v>
      </c>
      <c r="F76" s="17">
        <v>0</v>
      </c>
      <c r="G76" s="17">
        <v>615</v>
      </c>
      <c r="H76" s="18">
        <f>F76-G76</f>
        <v>-615</v>
      </c>
      <c r="I76" s="18">
        <f>I75+H76</f>
        <v>46787.250000000015</v>
      </c>
      <c r="J76" s="17">
        <v>0</v>
      </c>
      <c r="K76" s="19" t="s">
        <v>13</v>
      </c>
      <c r="L76" s="19" t="s">
        <v>13</v>
      </c>
    </row>
    <row r="77" spans="1:12" outlineLevel="1">
      <c r="A77" s="1">
        <v>1101</v>
      </c>
      <c r="B77" s="2" t="s">
        <v>162</v>
      </c>
      <c r="C77" s="3">
        <v>46014</v>
      </c>
      <c r="D77" s="2" t="s">
        <v>90</v>
      </c>
      <c r="F77" s="17">
        <v>27599.79</v>
      </c>
      <c r="G77" s="17">
        <v>0</v>
      </c>
      <c r="H77" s="18">
        <f>F77-G77</f>
        <v>27599.79</v>
      </c>
      <c r="I77" s="18">
        <f>I76+H77</f>
        <v>74387.040000000008</v>
      </c>
      <c r="J77" s="17">
        <v>0</v>
      </c>
      <c r="K77" s="19" t="s">
        <v>13</v>
      </c>
      <c r="L77" s="19" t="s">
        <v>13</v>
      </c>
    </row>
    <row r="78" spans="1:12" outlineLevel="1">
      <c r="A78" s="1">
        <v>1101</v>
      </c>
      <c r="B78" s="2" t="s">
        <v>162</v>
      </c>
      <c r="C78" s="3">
        <v>46015</v>
      </c>
      <c r="D78" s="2" t="s">
        <v>91</v>
      </c>
      <c r="F78" s="17">
        <v>7241.85</v>
      </c>
      <c r="G78" s="17">
        <v>0</v>
      </c>
      <c r="H78" s="18">
        <f>F78-G78</f>
        <v>7241.85</v>
      </c>
      <c r="I78" s="18">
        <f>I77+H78</f>
        <v>81628.890000000014</v>
      </c>
      <c r="J78" s="17">
        <v>0</v>
      </c>
      <c r="K78" s="19" t="s">
        <v>13</v>
      </c>
      <c r="L78" s="19" t="s">
        <v>13</v>
      </c>
    </row>
    <row r="79" spans="1:12" outlineLevel="1">
      <c r="A79" s="1">
        <v>1101</v>
      </c>
      <c r="B79" s="2" t="s">
        <v>162</v>
      </c>
      <c r="C79" s="3">
        <v>46015</v>
      </c>
      <c r="D79" s="2" t="s">
        <v>92</v>
      </c>
      <c r="F79" s="17">
        <v>0</v>
      </c>
      <c r="G79" s="17">
        <v>1171.77</v>
      </c>
      <c r="H79" s="18">
        <f>F79-G79</f>
        <v>-1171.77</v>
      </c>
      <c r="I79" s="18">
        <f>I78+H79</f>
        <v>80457.12000000001</v>
      </c>
      <c r="J79" s="17">
        <v>0</v>
      </c>
      <c r="K79" s="19" t="s">
        <v>13</v>
      </c>
      <c r="L79" s="19" t="s">
        <v>13</v>
      </c>
    </row>
    <row r="80" spans="1:12" outlineLevel="1">
      <c r="A80" s="1">
        <v>1101</v>
      </c>
      <c r="B80" s="2" t="s">
        <v>162</v>
      </c>
      <c r="C80" s="3">
        <v>46018</v>
      </c>
      <c r="D80" s="2" t="s">
        <v>93</v>
      </c>
      <c r="F80" s="17">
        <v>0</v>
      </c>
      <c r="G80" s="17">
        <v>136.02000000000001</v>
      </c>
      <c r="H80" s="18">
        <f>F80-G80</f>
        <v>-136.02000000000001</v>
      </c>
      <c r="I80" s="18">
        <f>I79+H80</f>
        <v>80321.100000000006</v>
      </c>
      <c r="J80" s="17">
        <v>0</v>
      </c>
      <c r="K80" s="19" t="s">
        <v>13</v>
      </c>
      <c r="L80" s="19" t="s">
        <v>13</v>
      </c>
    </row>
    <row r="81" spans="1:12" outlineLevel="1">
      <c r="A81" s="1">
        <v>1101</v>
      </c>
      <c r="B81" s="2" t="s">
        <v>162</v>
      </c>
      <c r="C81" s="3">
        <v>46020</v>
      </c>
      <c r="D81" s="2" t="s">
        <v>94</v>
      </c>
      <c r="F81" s="17">
        <v>0</v>
      </c>
      <c r="G81" s="17">
        <v>1851.3</v>
      </c>
      <c r="H81" s="18">
        <f>F81-G81</f>
        <v>-1851.3</v>
      </c>
      <c r="I81" s="18">
        <f>I80+H81</f>
        <v>78469.8</v>
      </c>
      <c r="J81" s="17">
        <v>0</v>
      </c>
      <c r="K81" s="19" t="s">
        <v>13</v>
      </c>
      <c r="L81" s="19" t="s">
        <v>13</v>
      </c>
    </row>
    <row r="82" spans="1:12" outlineLevel="1">
      <c r="A82" s="1">
        <v>1101</v>
      </c>
      <c r="B82" s="2" t="s">
        <v>162</v>
      </c>
      <c r="C82" s="3">
        <v>46021</v>
      </c>
      <c r="D82" s="2" t="s">
        <v>95</v>
      </c>
      <c r="F82" s="17">
        <v>0</v>
      </c>
      <c r="G82" s="17">
        <v>884.82</v>
      </c>
      <c r="H82" s="18">
        <f>F82-G82</f>
        <v>-884.82</v>
      </c>
      <c r="I82" s="18">
        <f>I81+H82</f>
        <v>77584.98</v>
      </c>
      <c r="J82" s="17">
        <v>0</v>
      </c>
      <c r="K82" s="19" t="s">
        <v>13</v>
      </c>
      <c r="L82" s="19" t="s">
        <v>13</v>
      </c>
    </row>
    <row r="83" spans="1:12" outlineLevel="1">
      <c r="A83" s="1">
        <v>1101</v>
      </c>
      <c r="B83" s="2" t="s">
        <v>162</v>
      </c>
      <c r="C83" s="3">
        <v>46021</v>
      </c>
      <c r="D83" s="2" t="s">
        <v>96</v>
      </c>
      <c r="F83" s="17">
        <v>0</v>
      </c>
      <c r="G83" s="17">
        <v>126</v>
      </c>
      <c r="H83" s="18">
        <f>F83-G83</f>
        <v>-126</v>
      </c>
      <c r="I83" s="18">
        <f>I82+H83</f>
        <v>77458.98</v>
      </c>
      <c r="J83" s="17">
        <v>0</v>
      </c>
      <c r="K83" s="19" t="s">
        <v>13</v>
      </c>
      <c r="L83" s="19" t="s">
        <v>13</v>
      </c>
    </row>
    <row r="84" spans="1:12" outlineLevel="1">
      <c r="A84" s="1">
        <v>1101</v>
      </c>
      <c r="B84" s="2" t="s">
        <v>162</v>
      </c>
      <c r="C84" s="3" t="s">
        <v>173</v>
      </c>
      <c r="D84" s="2" t="s">
        <v>174</v>
      </c>
      <c r="F84" s="17">
        <v>0</v>
      </c>
      <c r="G84" s="17">
        <v>4785</v>
      </c>
      <c r="H84" s="18">
        <f>F84-G84</f>
        <v>-4785</v>
      </c>
      <c r="I84" s="18">
        <f>I83+H84</f>
        <v>72673.98</v>
      </c>
      <c r="J84" s="17"/>
      <c r="K84" s="19" t="s">
        <v>13</v>
      </c>
      <c r="L84" s="19" t="s">
        <v>13</v>
      </c>
    </row>
    <row r="85" spans="1:12" outlineLevel="1">
      <c r="A85" s="1">
        <v>1101</v>
      </c>
      <c r="B85" s="2" t="s">
        <v>162</v>
      </c>
      <c r="C85" s="3" t="s">
        <v>175</v>
      </c>
      <c r="D85" s="2" t="s">
        <v>176</v>
      </c>
      <c r="F85" s="17">
        <v>0</v>
      </c>
      <c r="G85" s="17">
        <v>6340</v>
      </c>
      <c r="H85" s="18">
        <f>F85-G85</f>
        <v>-6340</v>
      </c>
      <c r="I85" s="18">
        <f>I84+H85</f>
        <v>66333.98</v>
      </c>
      <c r="J85" s="17"/>
      <c r="K85" s="19" t="s">
        <v>13</v>
      </c>
      <c r="L85" s="19" t="s">
        <v>13</v>
      </c>
    </row>
    <row r="86" spans="1:12" outlineLevel="1">
      <c r="A86" s="1">
        <v>1101</v>
      </c>
      <c r="B86" s="2" t="s">
        <v>162</v>
      </c>
      <c r="C86" s="3" t="s">
        <v>177</v>
      </c>
      <c r="D86" s="2" t="s">
        <v>178</v>
      </c>
      <c r="F86" s="17">
        <v>0</v>
      </c>
      <c r="G86" s="17">
        <v>2190</v>
      </c>
      <c r="H86" s="18">
        <f>F86-G86</f>
        <v>-2190</v>
      </c>
      <c r="I86" s="18">
        <f>I85+H86</f>
        <v>64143.979999999996</v>
      </c>
      <c r="J86" s="17"/>
      <c r="K86" s="19" t="s">
        <v>13</v>
      </c>
      <c r="L86" s="19" t="s">
        <v>13</v>
      </c>
    </row>
    <row r="87" spans="1:12" outlineLevel="1">
      <c r="A87" s="1">
        <v>1101</v>
      </c>
      <c r="B87" s="2" t="s">
        <v>162</v>
      </c>
      <c r="C87" s="3" t="s">
        <v>179</v>
      </c>
      <c r="D87" s="2" t="s">
        <v>180</v>
      </c>
      <c r="F87" s="17">
        <v>0</v>
      </c>
      <c r="G87" s="17">
        <v>3425</v>
      </c>
      <c r="H87" s="18">
        <f>F87-G87</f>
        <v>-3425</v>
      </c>
      <c r="I87" s="18">
        <f>I86+H87</f>
        <v>60718.979999999996</v>
      </c>
      <c r="J87" s="17"/>
      <c r="K87" s="19" t="s">
        <v>13</v>
      </c>
      <c r="L87" s="19" t="s">
        <v>13</v>
      </c>
    </row>
    <row r="88" spans="1:12" outlineLevel="1">
      <c r="A88" s="1">
        <v>1101</v>
      </c>
      <c r="B88" s="2" t="s">
        <v>162</v>
      </c>
      <c r="C88" s="3" t="s">
        <v>163</v>
      </c>
      <c r="D88" s="2" t="s">
        <v>166</v>
      </c>
      <c r="E88" s="2" t="s">
        <v>165</v>
      </c>
      <c r="F88" s="17">
        <v>0</v>
      </c>
      <c r="G88" s="17">
        <v>18150</v>
      </c>
      <c r="H88" s="18">
        <f>F88-G88</f>
        <v>-18150</v>
      </c>
      <c r="I88" s="18">
        <f>I87+H88</f>
        <v>42568.979999999996</v>
      </c>
      <c r="J88" s="17"/>
      <c r="K88" s="19" t="s">
        <v>13</v>
      </c>
      <c r="L88" s="19" t="s">
        <v>13</v>
      </c>
    </row>
    <row r="89" spans="1:12" outlineLevel="1">
      <c r="A89" s="1">
        <v>1101</v>
      </c>
      <c r="B89" s="2" t="s">
        <v>162</v>
      </c>
      <c r="C89" s="3" t="s">
        <v>167</v>
      </c>
      <c r="D89" s="2" t="s">
        <v>166</v>
      </c>
      <c r="E89" s="2" t="s">
        <v>168</v>
      </c>
      <c r="F89" s="17">
        <v>0</v>
      </c>
      <c r="G89" s="17">
        <v>21780</v>
      </c>
      <c r="H89" s="18">
        <f>F89-G89</f>
        <v>-21780</v>
      </c>
      <c r="I89" s="18">
        <f>I88+H89</f>
        <v>20788.979999999996</v>
      </c>
      <c r="J89" s="17"/>
      <c r="K89" s="19" t="s">
        <v>13</v>
      </c>
      <c r="L89" s="19" t="s">
        <v>13</v>
      </c>
    </row>
    <row r="90" spans="1:12" outlineLevel="1">
      <c r="A90" s="1">
        <v>1101</v>
      </c>
      <c r="B90" s="2" t="s">
        <v>162</v>
      </c>
      <c r="C90" s="3" t="s">
        <v>169</v>
      </c>
      <c r="D90" s="2" t="s">
        <v>166</v>
      </c>
      <c r="E90" s="2" t="s">
        <v>170</v>
      </c>
      <c r="F90" s="17">
        <v>0</v>
      </c>
      <c r="G90" s="17">
        <v>24200</v>
      </c>
      <c r="H90" s="18">
        <f>F90-G90</f>
        <v>-24200</v>
      </c>
      <c r="I90" s="18">
        <f>I89+H90</f>
        <v>-3411.0200000000041</v>
      </c>
      <c r="J90" s="17"/>
      <c r="K90" s="19" t="s">
        <v>13</v>
      </c>
      <c r="L90" s="19" t="s">
        <v>13</v>
      </c>
    </row>
    <row r="91" spans="1:12" outlineLevel="1">
      <c r="A91" s="1">
        <v>1101</v>
      </c>
      <c r="B91" s="2" t="s">
        <v>162</v>
      </c>
      <c r="C91" s="3" t="s">
        <v>189</v>
      </c>
      <c r="D91" s="2" t="s">
        <v>190</v>
      </c>
      <c r="F91" s="17">
        <v>35000</v>
      </c>
      <c r="G91" s="17">
        <v>0</v>
      </c>
      <c r="H91" s="18">
        <f>F91-G91</f>
        <v>35000</v>
      </c>
      <c r="I91" s="18">
        <f>I90+H91</f>
        <v>31588.979999999996</v>
      </c>
      <c r="J91" s="17"/>
      <c r="K91" s="19" t="s">
        <v>13</v>
      </c>
      <c r="L91" s="19" t="s">
        <v>13</v>
      </c>
    </row>
    <row r="92" spans="1:12" outlineLevel="1">
      <c r="A92" s="20"/>
      <c r="B92" s="20"/>
      <c r="C92" s="20"/>
      <c r="D92" s="20"/>
      <c r="E92" s="20"/>
      <c r="F92" s="21">
        <f>SUBTOTAL(9,F17:F91)</f>
        <v>178120.1</v>
      </c>
      <c r="G92" s="21">
        <f>SUBTOTAL(9,G17:G91)</f>
        <v>146531.12</v>
      </c>
      <c r="H92" s="21">
        <f>F92-G92</f>
        <v>31588.98000000001</v>
      </c>
      <c r="I92" s="20"/>
      <c r="J92" s="20"/>
      <c r="K92" s="20"/>
      <c r="L92" s="20"/>
    </row>
    <row r="93" spans="1:12">
      <c r="A93" s="12" t="s">
        <v>192</v>
      </c>
      <c r="B93" s="13"/>
      <c r="C93" s="14"/>
      <c r="D93" s="13"/>
      <c r="E93" s="13"/>
      <c r="F93" s="15"/>
      <c r="G93" s="15"/>
      <c r="H93" s="16"/>
      <c r="I93" s="16"/>
      <c r="J93" s="15"/>
      <c r="K93" s="13"/>
      <c r="L93" s="13"/>
    </row>
    <row r="94" spans="1:12" outlineLevel="1">
      <c r="A94" s="1">
        <v>2011</v>
      </c>
      <c r="B94" s="2" t="s">
        <v>15</v>
      </c>
      <c r="C94" s="3">
        <v>45992</v>
      </c>
      <c r="D94" s="2" t="s">
        <v>97</v>
      </c>
      <c r="F94" s="17">
        <v>0</v>
      </c>
      <c r="G94" s="17">
        <v>1306.8</v>
      </c>
      <c r="H94" s="18">
        <f>F94-G94</f>
        <v>-1306.8</v>
      </c>
      <c r="I94" s="18">
        <f>H94</f>
        <v>-1306.8</v>
      </c>
      <c r="J94" s="17">
        <v>0</v>
      </c>
      <c r="K94" s="19" t="s">
        <v>18</v>
      </c>
      <c r="L94" s="19" t="s">
        <v>13</v>
      </c>
    </row>
    <row r="95" spans="1:12" outlineLevel="1">
      <c r="A95" s="1">
        <v>2011</v>
      </c>
      <c r="B95" s="2" t="s">
        <v>15</v>
      </c>
      <c r="C95" s="3">
        <v>46022</v>
      </c>
      <c r="D95" s="2" t="s">
        <v>98</v>
      </c>
      <c r="F95" s="17">
        <v>0</v>
      </c>
      <c r="G95" s="17">
        <v>1087.26</v>
      </c>
      <c r="H95" s="18">
        <f>F95-G95</f>
        <v>-1087.26</v>
      </c>
      <c r="I95" s="18">
        <f>I94+H95</f>
        <v>-2394.06</v>
      </c>
      <c r="J95" s="17">
        <v>0</v>
      </c>
      <c r="K95" s="19" t="s">
        <v>13</v>
      </c>
      <c r="L95" s="19" t="s">
        <v>13</v>
      </c>
    </row>
    <row r="96" spans="1:12" outlineLevel="1">
      <c r="A96" s="1">
        <v>1101</v>
      </c>
      <c r="B96" s="2" t="s">
        <v>162</v>
      </c>
      <c r="C96" s="3" t="s">
        <v>189</v>
      </c>
      <c r="D96" s="2" t="s">
        <v>190</v>
      </c>
      <c r="F96" s="17">
        <v>0</v>
      </c>
      <c r="G96" s="17">
        <v>35000</v>
      </c>
      <c r="H96" s="18">
        <f>F96-G96</f>
        <v>-35000</v>
      </c>
      <c r="I96" s="18">
        <f>I95+H96</f>
        <v>-37394.06</v>
      </c>
      <c r="J96" s="17"/>
      <c r="K96" s="19" t="s">
        <v>13</v>
      </c>
      <c r="L96" s="19" t="s">
        <v>13</v>
      </c>
    </row>
    <row r="97" spans="1:12" outlineLevel="1">
      <c r="A97" s="20"/>
      <c r="B97" s="20"/>
      <c r="C97" s="20"/>
      <c r="D97" s="20"/>
      <c r="E97" s="20"/>
      <c r="F97" s="21">
        <f>SUBTOTAL(9,F94:F96)</f>
        <v>0</v>
      </c>
      <c r="G97" s="21">
        <f>SUBTOTAL(9,G94:G96)</f>
        <v>37394.06</v>
      </c>
      <c r="H97" s="21">
        <f>F97-G97</f>
        <v>-37394.06</v>
      </c>
      <c r="I97" s="20"/>
      <c r="J97" s="20"/>
      <c r="K97" s="20"/>
      <c r="L97" s="20"/>
    </row>
    <row r="98" spans="1:12">
      <c r="A98" s="12" t="s">
        <v>186</v>
      </c>
      <c r="B98" s="13"/>
      <c r="C98" s="14"/>
      <c r="D98" s="13"/>
      <c r="E98" s="13"/>
      <c r="F98" s="15"/>
      <c r="G98" s="15"/>
      <c r="H98" s="16"/>
      <c r="I98" s="16"/>
      <c r="J98" s="15"/>
      <c r="K98" s="13"/>
      <c r="L98" s="13"/>
    </row>
    <row r="99" spans="1:12" outlineLevel="1">
      <c r="A99" s="1">
        <v>1300</v>
      </c>
      <c r="B99" s="2" t="s">
        <v>19</v>
      </c>
      <c r="C99" s="3">
        <v>45923</v>
      </c>
      <c r="D99" s="2" t="s">
        <v>59</v>
      </c>
      <c r="E99" s="2">
        <v>20258020</v>
      </c>
      <c r="F99" s="17">
        <v>13884.75</v>
      </c>
      <c r="G99" s="17">
        <v>0</v>
      </c>
      <c r="H99" s="18">
        <f>F99-G99</f>
        <v>13884.75</v>
      </c>
      <c r="I99" s="18">
        <f>H99</f>
        <v>13884.75</v>
      </c>
      <c r="J99" s="17">
        <v>0</v>
      </c>
      <c r="K99" s="19" t="s">
        <v>13</v>
      </c>
      <c r="L99" s="19" t="s">
        <v>13</v>
      </c>
    </row>
    <row r="100" spans="1:12" outlineLevel="1">
      <c r="A100" s="1">
        <v>1101</v>
      </c>
      <c r="B100" s="2" t="s">
        <v>162</v>
      </c>
      <c r="C100" s="3">
        <v>45938</v>
      </c>
      <c r="D100" s="2" t="s">
        <v>59</v>
      </c>
      <c r="E100" s="2">
        <v>20258020</v>
      </c>
      <c r="F100" s="17">
        <v>0</v>
      </c>
      <c r="G100" s="17">
        <v>13884.75</v>
      </c>
      <c r="H100" s="18">
        <f>F100-G100</f>
        <v>-13884.75</v>
      </c>
      <c r="I100" s="18">
        <f>I99+H100</f>
        <v>0</v>
      </c>
      <c r="J100" s="17">
        <v>0</v>
      </c>
      <c r="K100" s="19" t="s">
        <v>13</v>
      </c>
      <c r="L100" s="19" t="s">
        <v>13</v>
      </c>
    </row>
    <row r="101" spans="1:12" outlineLevel="1">
      <c r="A101" s="1">
        <v>1300</v>
      </c>
      <c r="B101" s="2" t="s">
        <v>19</v>
      </c>
      <c r="C101" s="3">
        <v>45939</v>
      </c>
      <c r="D101" s="2" t="s">
        <v>59</v>
      </c>
      <c r="E101" s="2">
        <v>20258021</v>
      </c>
      <c r="F101" s="17">
        <v>26998.14</v>
      </c>
      <c r="G101" s="17">
        <v>0</v>
      </c>
      <c r="H101" s="18">
        <f>F101-G101</f>
        <v>26998.14</v>
      </c>
      <c r="I101" s="18">
        <f>I100+H101</f>
        <v>26998.14</v>
      </c>
      <c r="J101" s="17">
        <v>0</v>
      </c>
      <c r="K101" s="19" t="s">
        <v>13</v>
      </c>
      <c r="L101" s="19" t="s">
        <v>13</v>
      </c>
    </row>
    <row r="102" spans="1:12" outlineLevel="1">
      <c r="A102" s="1">
        <v>1101</v>
      </c>
      <c r="B102" s="2" t="s">
        <v>162</v>
      </c>
      <c r="C102" s="3">
        <v>45951</v>
      </c>
      <c r="D102" s="2" t="s">
        <v>59</v>
      </c>
      <c r="E102" s="2">
        <v>20258021</v>
      </c>
      <c r="F102" s="17">
        <v>0</v>
      </c>
      <c r="G102" s="17">
        <v>26998.14</v>
      </c>
      <c r="H102" s="18">
        <f>F102-G102</f>
        <v>-26998.14</v>
      </c>
      <c r="I102" s="18">
        <f>I101+H102</f>
        <v>0</v>
      </c>
      <c r="J102" s="17">
        <v>0</v>
      </c>
      <c r="K102" s="19" t="s">
        <v>13</v>
      </c>
      <c r="L102" s="19" t="s">
        <v>13</v>
      </c>
    </row>
    <row r="103" spans="1:12" outlineLevel="1">
      <c r="A103" s="1">
        <v>1300</v>
      </c>
      <c r="B103" s="2" t="s">
        <v>19</v>
      </c>
      <c r="C103" s="3">
        <v>45968</v>
      </c>
      <c r="D103" s="2" t="s">
        <v>59</v>
      </c>
      <c r="E103" s="2">
        <v>20258022</v>
      </c>
      <c r="F103" s="17">
        <v>38568.75</v>
      </c>
      <c r="G103" s="17">
        <v>0</v>
      </c>
      <c r="H103" s="18">
        <f>F103-G103</f>
        <v>38568.75</v>
      </c>
      <c r="I103" s="18">
        <f>I102+H103</f>
        <v>38568.75</v>
      </c>
      <c r="J103" s="17">
        <v>0</v>
      </c>
      <c r="K103" s="19" t="s">
        <v>13</v>
      </c>
      <c r="L103" s="19" t="s">
        <v>13</v>
      </c>
    </row>
    <row r="104" spans="1:12" outlineLevel="1">
      <c r="A104" s="1">
        <v>1101</v>
      </c>
      <c r="B104" s="2" t="s">
        <v>162</v>
      </c>
      <c r="C104" s="3">
        <v>45979</v>
      </c>
      <c r="D104" s="2" t="s">
        <v>69</v>
      </c>
      <c r="E104" s="2">
        <v>20258022</v>
      </c>
      <c r="F104" s="17">
        <v>0</v>
      </c>
      <c r="G104" s="17">
        <v>38568.75</v>
      </c>
      <c r="H104" s="18">
        <f>F104-G104</f>
        <v>-38568.75</v>
      </c>
      <c r="I104" s="18">
        <f>I103+H104</f>
        <v>0</v>
      </c>
      <c r="J104" s="17">
        <v>0</v>
      </c>
      <c r="K104" s="19" t="s">
        <v>13</v>
      </c>
      <c r="L104" s="19" t="s">
        <v>13</v>
      </c>
    </row>
    <row r="105" spans="1:12" outlineLevel="1">
      <c r="A105" s="1">
        <v>1300</v>
      </c>
      <c r="B105" s="2" t="s">
        <v>19</v>
      </c>
      <c r="C105" s="3">
        <v>45994</v>
      </c>
      <c r="D105" s="2" t="s">
        <v>99</v>
      </c>
      <c r="E105" s="2">
        <v>20258023</v>
      </c>
      <c r="F105" s="17">
        <v>25406.37</v>
      </c>
      <c r="G105" s="17">
        <v>0</v>
      </c>
      <c r="H105" s="18">
        <f>F105-G105</f>
        <v>25406.37</v>
      </c>
      <c r="I105" s="18">
        <f>I104+H105</f>
        <v>25406.37</v>
      </c>
      <c r="J105" s="17">
        <v>0</v>
      </c>
      <c r="K105" s="19" t="s">
        <v>13</v>
      </c>
      <c r="L105" s="19" t="s">
        <v>13</v>
      </c>
    </row>
    <row r="106" spans="1:12" outlineLevel="1">
      <c r="A106" s="1">
        <v>1300</v>
      </c>
      <c r="B106" s="2" t="s">
        <v>19</v>
      </c>
      <c r="C106" s="3">
        <v>45995</v>
      </c>
      <c r="D106" s="2" t="s">
        <v>100</v>
      </c>
      <c r="E106" s="2">
        <v>20258024</v>
      </c>
      <c r="F106" s="17">
        <v>27599.79</v>
      </c>
      <c r="G106" s="17">
        <v>0</v>
      </c>
      <c r="H106" s="18">
        <f>F106-G106</f>
        <v>27599.79</v>
      </c>
      <c r="I106" s="18">
        <f>I105+H106</f>
        <v>53006.16</v>
      </c>
      <c r="J106" s="17">
        <v>0</v>
      </c>
      <c r="K106" s="19" t="s">
        <v>13</v>
      </c>
      <c r="L106" s="19" t="s">
        <v>13</v>
      </c>
    </row>
    <row r="107" spans="1:12" outlineLevel="1">
      <c r="A107" s="1">
        <v>1300</v>
      </c>
      <c r="B107" s="2" t="s">
        <v>19</v>
      </c>
      <c r="C107" s="3">
        <v>46001</v>
      </c>
      <c r="D107" s="2" t="s">
        <v>101</v>
      </c>
      <c r="E107" s="2">
        <v>20258025</v>
      </c>
      <c r="F107" s="17">
        <v>7241.85</v>
      </c>
      <c r="G107" s="17">
        <v>0</v>
      </c>
      <c r="H107" s="18">
        <f>F107-G107</f>
        <v>7241.85</v>
      </c>
      <c r="I107" s="18">
        <f>I106+H107</f>
        <v>60248.01</v>
      </c>
      <c r="J107" s="17">
        <v>0</v>
      </c>
      <c r="K107" s="19" t="s">
        <v>13</v>
      </c>
      <c r="L107" s="19" t="s">
        <v>13</v>
      </c>
    </row>
    <row r="108" spans="1:12" outlineLevel="1">
      <c r="A108" s="1">
        <v>1300</v>
      </c>
      <c r="B108" s="2" t="s">
        <v>19</v>
      </c>
      <c r="C108" s="3">
        <v>46008</v>
      </c>
      <c r="D108" s="2" t="s">
        <v>102</v>
      </c>
      <c r="E108" s="2">
        <v>20258026</v>
      </c>
      <c r="F108" s="17">
        <v>12705</v>
      </c>
      <c r="G108" s="17">
        <v>0</v>
      </c>
      <c r="H108" s="18">
        <f>F108-G108</f>
        <v>12705</v>
      </c>
      <c r="I108" s="18">
        <f>I107+H108</f>
        <v>72953.010000000009</v>
      </c>
      <c r="J108" s="17">
        <v>0</v>
      </c>
      <c r="K108" s="19" t="s">
        <v>13</v>
      </c>
      <c r="L108" s="19" t="s">
        <v>13</v>
      </c>
    </row>
    <row r="109" spans="1:12" outlineLevel="1">
      <c r="A109" s="1">
        <v>1101</v>
      </c>
      <c r="B109" s="2" t="s">
        <v>162</v>
      </c>
      <c r="C109" s="3">
        <v>46010</v>
      </c>
      <c r="D109" s="2" t="s">
        <v>87</v>
      </c>
      <c r="E109" s="2">
        <v>20258023</v>
      </c>
      <c r="F109" s="17">
        <v>0</v>
      </c>
      <c r="G109" s="17">
        <v>25406.37</v>
      </c>
      <c r="H109" s="18">
        <f>F109-G109</f>
        <v>-25406.37</v>
      </c>
      <c r="I109" s="18">
        <f>I108+H109</f>
        <v>47546.640000000014</v>
      </c>
      <c r="J109" s="17">
        <v>0</v>
      </c>
      <c r="K109" s="19" t="s">
        <v>13</v>
      </c>
      <c r="L109" s="19" t="s">
        <v>13</v>
      </c>
    </row>
    <row r="110" spans="1:12" outlineLevel="1">
      <c r="A110" s="1">
        <v>1300</v>
      </c>
      <c r="B110" s="2" t="s">
        <v>19</v>
      </c>
      <c r="C110" s="3">
        <v>46010</v>
      </c>
      <c r="D110" s="2" t="s">
        <v>103</v>
      </c>
      <c r="E110" s="2">
        <v>20258027</v>
      </c>
      <c r="F110" s="17">
        <v>9071.3700000000008</v>
      </c>
      <c r="G110" s="17">
        <v>0</v>
      </c>
      <c r="H110" s="18">
        <f>F110-G110</f>
        <v>9071.3700000000008</v>
      </c>
      <c r="I110" s="18">
        <f>I109+H110</f>
        <v>56618.010000000017</v>
      </c>
      <c r="J110" s="17">
        <v>0</v>
      </c>
      <c r="K110" s="19" t="s">
        <v>13</v>
      </c>
      <c r="L110" s="19" t="s">
        <v>13</v>
      </c>
    </row>
    <row r="111" spans="1:12" outlineLevel="1">
      <c r="A111" s="1">
        <v>1101</v>
      </c>
      <c r="B111" s="2" t="s">
        <v>162</v>
      </c>
      <c r="C111" s="3">
        <v>46014</v>
      </c>
      <c r="D111" s="2" t="s">
        <v>90</v>
      </c>
      <c r="E111" s="2">
        <v>20258024</v>
      </c>
      <c r="F111" s="17">
        <v>0</v>
      </c>
      <c r="G111" s="17">
        <v>27599.79</v>
      </c>
      <c r="H111" s="18">
        <f>F111-G111</f>
        <v>-27599.79</v>
      </c>
      <c r="I111" s="18">
        <f>I110+H111</f>
        <v>29018.220000000016</v>
      </c>
      <c r="J111" s="17">
        <v>0</v>
      </c>
      <c r="K111" s="19" t="s">
        <v>13</v>
      </c>
      <c r="L111" s="19" t="s">
        <v>13</v>
      </c>
    </row>
    <row r="112" spans="1:12" outlineLevel="1">
      <c r="A112" s="1">
        <v>1300</v>
      </c>
      <c r="B112" s="2" t="s">
        <v>19</v>
      </c>
      <c r="C112" s="3">
        <v>46014</v>
      </c>
      <c r="D112" s="2" t="s">
        <v>104</v>
      </c>
      <c r="E112" s="2">
        <v>20258028</v>
      </c>
      <c r="F112" s="17">
        <v>4900.5</v>
      </c>
      <c r="G112" s="17">
        <v>0</v>
      </c>
      <c r="H112" s="18">
        <f>F112-G112</f>
        <v>4900.5</v>
      </c>
      <c r="I112" s="18">
        <f>I111+H112</f>
        <v>33918.720000000016</v>
      </c>
      <c r="J112" s="17">
        <v>0</v>
      </c>
      <c r="K112" s="19" t="s">
        <v>13</v>
      </c>
      <c r="L112" s="19" t="s">
        <v>13</v>
      </c>
    </row>
    <row r="113" spans="1:12" outlineLevel="1">
      <c r="A113" s="1">
        <v>1101</v>
      </c>
      <c r="B113" s="2" t="s">
        <v>162</v>
      </c>
      <c r="C113" s="3">
        <v>46015</v>
      </c>
      <c r="D113" s="2" t="s">
        <v>91</v>
      </c>
      <c r="E113" s="2">
        <v>20258025</v>
      </c>
      <c r="F113" s="17">
        <v>0</v>
      </c>
      <c r="G113" s="17">
        <v>7241.85</v>
      </c>
      <c r="H113" s="18">
        <f>F113-G113</f>
        <v>-7241.85</v>
      </c>
      <c r="I113" s="18">
        <f>I112+H113</f>
        <v>26676.870000000017</v>
      </c>
      <c r="J113" s="17">
        <v>0</v>
      </c>
      <c r="K113" s="19" t="s">
        <v>13</v>
      </c>
      <c r="L113" s="19" t="s">
        <v>13</v>
      </c>
    </row>
    <row r="114" spans="1:12" outlineLevel="1">
      <c r="A114" s="1">
        <v>1300</v>
      </c>
      <c r="B114" s="2" t="s">
        <v>19</v>
      </c>
      <c r="C114" s="3" t="s">
        <v>183</v>
      </c>
      <c r="D114" s="2" t="s">
        <v>184</v>
      </c>
      <c r="E114" s="2">
        <v>20258029</v>
      </c>
      <c r="F114" s="17">
        <v>48400</v>
      </c>
      <c r="G114" s="17">
        <v>0</v>
      </c>
      <c r="H114" s="18">
        <f>F114-G114</f>
        <v>48400</v>
      </c>
      <c r="I114" s="18">
        <f>I113+H114</f>
        <v>75076.870000000024</v>
      </c>
      <c r="J114" s="17"/>
      <c r="K114" s="19" t="s">
        <v>13</v>
      </c>
      <c r="L114" s="19" t="s">
        <v>13</v>
      </c>
    </row>
    <row r="115" spans="1:12" outlineLevel="1">
      <c r="A115" s="1">
        <v>1300</v>
      </c>
      <c r="B115" s="2" t="s">
        <v>19</v>
      </c>
      <c r="C115" s="3" t="s">
        <v>185</v>
      </c>
      <c r="D115" s="2" t="s">
        <v>184</v>
      </c>
      <c r="E115" s="2">
        <v>20258030</v>
      </c>
      <c r="F115" s="17">
        <v>36300</v>
      </c>
      <c r="G115" s="17">
        <v>0</v>
      </c>
      <c r="H115" s="18">
        <f>F115-G115</f>
        <v>36300</v>
      </c>
      <c r="I115" s="18">
        <f>I114+H115</f>
        <v>111376.87000000002</v>
      </c>
      <c r="J115" s="17"/>
      <c r="K115" s="19" t="s">
        <v>13</v>
      </c>
      <c r="L115" s="19" t="s">
        <v>13</v>
      </c>
    </row>
    <row r="116" spans="1:12" outlineLevel="1">
      <c r="A116" s="1">
        <v>1300</v>
      </c>
      <c r="B116" s="2" t="s">
        <v>19</v>
      </c>
      <c r="C116" s="3">
        <v>46022</v>
      </c>
      <c r="D116" s="2" t="s">
        <v>105</v>
      </c>
      <c r="E116" s="2">
        <v>1122334455</v>
      </c>
      <c r="F116" s="17">
        <v>0</v>
      </c>
      <c r="G116" s="17">
        <v>0</v>
      </c>
      <c r="H116" s="18">
        <f>F116-G116</f>
        <v>0</v>
      </c>
      <c r="I116" s="18">
        <f>I115+H116</f>
        <v>111376.87000000002</v>
      </c>
      <c r="J116" s="17">
        <v>0</v>
      </c>
      <c r="K116" s="19" t="s">
        <v>13</v>
      </c>
      <c r="L116" s="19" t="s">
        <v>13</v>
      </c>
    </row>
    <row r="117" spans="1:12" outlineLevel="1">
      <c r="A117" s="20"/>
      <c r="B117" s="20"/>
      <c r="C117" s="20"/>
      <c r="D117" s="20"/>
      <c r="E117" s="20"/>
      <c r="F117" s="21">
        <f>SUBTOTAL(9,F99:F116)</f>
        <v>251076.52</v>
      </c>
      <c r="G117" s="21">
        <f>SUBTOTAL(9,G99:G116)</f>
        <v>139699.65</v>
      </c>
      <c r="H117" s="21">
        <f>F117-G117</f>
        <v>111376.87</v>
      </c>
      <c r="I117" s="20"/>
      <c r="J117" s="20"/>
      <c r="K117" s="20"/>
      <c r="L117" s="20"/>
    </row>
    <row r="118" spans="1:12">
      <c r="A118" s="12" t="s">
        <v>171</v>
      </c>
      <c r="B118" s="13"/>
      <c r="C118" s="14"/>
      <c r="D118" s="13"/>
      <c r="E118" s="13"/>
      <c r="F118" s="15"/>
      <c r="G118" s="15"/>
      <c r="H118" s="16"/>
      <c r="I118" s="16"/>
      <c r="J118" s="15"/>
      <c r="K118" s="13"/>
      <c r="L118" s="13"/>
    </row>
    <row r="119" spans="1:12" outlineLevel="1">
      <c r="A119" s="1">
        <v>1600</v>
      </c>
      <c r="B119" s="2" t="s">
        <v>20</v>
      </c>
      <c r="C119" s="3">
        <v>45698</v>
      </c>
      <c r="D119" s="2" t="s">
        <v>77</v>
      </c>
      <c r="E119" s="2">
        <v>20260210</v>
      </c>
      <c r="F119" s="17">
        <v>0</v>
      </c>
      <c r="G119" s="17">
        <v>138</v>
      </c>
      <c r="H119" s="18">
        <f>F119-G119</f>
        <v>-138</v>
      </c>
      <c r="I119" s="18">
        <f>H119</f>
        <v>-138</v>
      </c>
      <c r="J119" s="17">
        <v>0</v>
      </c>
      <c r="K119" s="19" t="s">
        <v>13</v>
      </c>
      <c r="L119" s="19" t="s">
        <v>13</v>
      </c>
    </row>
    <row r="120" spans="1:12" outlineLevel="1">
      <c r="A120" s="1">
        <v>1600</v>
      </c>
      <c r="B120" s="2" t="s">
        <v>20</v>
      </c>
      <c r="C120" s="3">
        <v>45915</v>
      </c>
      <c r="D120" s="2" t="s">
        <v>56</v>
      </c>
      <c r="E120" s="2" t="s">
        <v>106</v>
      </c>
      <c r="F120" s="17">
        <v>0</v>
      </c>
      <c r="G120" s="17">
        <v>884.82</v>
      </c>
      <c r="H120" s="18">
        <f>F120-G120</f>
        <v>-884.82</v>
      </c>
      <c r="I120" s="18">
        <f>I119+H120</f>
        <v>-1022.82</v>
      </c>
      <c r="J120" s="17">
        <v>0</v>
      </c>
      <c r="K120" s="19" t="s">
        <v>13</v>
      </c>
      <c r="L120" s="19" t="s">
        <v>13</v>
      </c>
    </row>
    <row r="121" spans="1:12" outlineLevel="1">
      <c r="A121" s="1">
        <v>1101</v>
      </c>
      <c r="B121" s="2" t="s">
        <v>162</v>
      </c>
      <c r="C121" s="3">
        <v>45920</v>
      </c>
      <c r="D121" s="2" t="s">
        <v>56</v>
      </c>
      <c r="E121" s="2" t="s">
        <v>106</v>
      </c>
      <c r="F121" s="17">
        <v>884.82</v>
      </c>
      <c r="G121" s="17">
        <v>0</v>
      </c>
      <c r="H121" s="18">
        <f>F121-G121</f>
        <v>884.82</v>
      </c>
      <c r="I121" s="18">
        <f>I120+H121</f>
        <v>-138</v>
      </c>
      <c r="J121" s="17">
        <v>0</v>
      </c>
      <c r="K121" s="19" t="s">
        <v>13</v>
      </c>
      <c r="L121" s="19" t="s">
        <v>13</v>
      </c>
    </row>
    <row r="122" spans="1:12" outlineLevel="1">
      <c r="A122" s="1">
        <v>1101</v>
      </c>
      <c r="B122" s="2" t="s">
        <v>162</v>
      </c>
      <c r="C122" s="3">
        <v>45926</v>
      </c>
      <c r="D122" s="2" t="s">
        <v>105</v>
      </c>
      <c r="E122" s="2" t="s">
        <v>107</v>
      </c>
      <c r="F122" s="17">
        <v>14.16</v>
      </c>
      <c r="G122" s="17">
        <v>0</v>
      </c>
      <c r="H122" s="18">
        <f>F122-G122</f>
        <v>14.16</v>
      </c>
      <c r="I122" s="18">
        <f>I121+H122</f>
        <v>-123.84</v>
      </c>
      <c r="J122" s="17">
        <v>0</v>
      </c>
      <c r="K122" s="19" t="s">
        <v>13</v>
      </c>
      <c r="L122" s="19" t="s">
        <v>13</v>
      </c>
    </row>
    <row r="123" spans="1:12" outlineLevel="1">
      <c r="A123" s="1">
        <v>1600</v>
      </c>
      <c r="B123" s="2" t="s">
        <v>20</v>
      </c>
      <c r="C123" s="3">
        <v>45944</v>
      </c>
      <c r="D123" s="2" t="s">
        <v>60</v>
      </c>
      <c r="E123" s="2" t="s">
        <v>108</v>
      </c>
      <c r="F123" s="17">
        <v>0</v>
      </c>
      <c r="G123" s="17">
        <v>1650</v>
      </c>
      <c r="H123" s="18">
        <f>F123-G123</f>
        <v>-1650</v>
      </c>
      <c r="I123" s="18">
        <f>I122+H123</f>
        <v>-1773.84</v>
      </c>
      <c r="J123" s="17">
        <v>0</v>
      </c>
      <c r="K123" s="19" t="s">
        <v>13</v>
      </c>
      <c r="L123" s="19" t="s">
        <v>13</v>
      </c>
    </row>
    <row r="124" spans="1:12" outlineLevel="1">
      <c r="A124" s="1">
        <v>1600</v>
      </c>
      <c r="B124" s="2" t="s">
        <v>20</v>
      </c>
      <c r="C124" s="3">
        <v>45945</v>
      </c>
      <c r="D124" s="2" t="s">
        <v>56</v>
      </c>
      <c r="E124" s="2" t="s">
        <v>109</v>
      </c>
      <c r="F124" s="17">
        <v>0</v>
      </c>
      <c r="G124" s="17">
        <v>884.82</v>
      </c>
      <c r="H124" s="18">
        <f>F124-G124</f>
        <v>-884.82</v>
      </c>
      <c r="I124" s="18">
        <f>I123+H124</f>
        <v>-2658.66</v>
      </c>
      <c r="J124" s="17">
        <v>0</v>
      </c>
      <c r="K124" s="19" t="s">
        <v>13</v>
      </c>
      <c r="L124" s="19" t="s">
        <v>13</v>
      </c>
    </row>
    <row r="125" spans="1:12" outlineLevel="1">
      <c r="A125" s="1">
        <v>1101</v>
      </c>
      <c r="B125" s="2" t="s">
        <v>162</v>
      </c>
      <c r="C125" s="3">
        <v>45946</v>
      </c>
      <c r="D125" s="2" t="s">
        <v>60</v>
      </c>
      <c r="E125" s="2" t="s">
        <v>108</v>
      </c>
      <c r="F125" s="17">
        <v>1650</v>
      </c>
      <c r="G125" s="17">
        <v>0</v>
      </c>
      <c r="H125" s="18">
        <f>F125-G125</f>
        <v>1650</v>
      </c>
      <c r="I125" s="18">
        <f>I124+H125</f>
        <v>-1008.6599999999999</v>
      </c>
      <c r="J125" s="17">
        <v>0</v>
      </c>
      <c r="K125" s="19" t="s">
        <v>13</v>
      </c>
      <c r="L125" s="19" t="s">
        <v>13</v>
      </c>
    </row>
    <row r="126" spans="1:12" outlineLevel="1">
      <c r="A126" s="1">
        <v>1101</v>
      </c>
      <c r="B126" s="2" t="s">
        <v>162</v>
      </c>
      <c r="C126" s="3">
        <v>45946</v>
      </c>
      <c r="D126" s="2" t="s">
        <v>56</v>
      </c>
      <c r="E126" s="2" t="s">
        <v>109</v>
      </c>
      <c r="F126" s="17">
        <v>884.82</v>
      </c>
      <c r="G126" s="17">
        <v>0</v>
      </c>
      <c r="H126" s="18">
        <f>F126-G126</f>
        <v>884.82</v>
      </c>
      <c r="I126" s="18">
        <f>I125+H126</f>
        <v>-123.8399999999998</v>
      </c>
      <c r="J126" s="17">
        <v>0</v>
      </c>
      <c r="K126" s="19" t="s">
        <v>13</v>
      </c>
      <c r="L126" s="19" t="s">
        <v>13</v>
      </c>
    </row>
    <row r="127" spans="1:12" outlineLevel="1">
      <c r="A127" s="1">
        <v>1101</v>
      </c>
      <c r="B127" s="2" t="s">
        <v>162</v>
      </c>
      <c r="C127" s="3">
        <v>45946</v>
      </c>
      <c r="D127" s="2" t="s">
        <v>105</v>
      </c>
      <c r="E127" s="2">
        <v>9988776655</v>
      </c>
      <c r="F127" s="17">
        <v>600</v>
      </c>
      <c r="G127" s="17">
        <v>0</v>
      </c>
      <c r="H127" s="18">
        <f>F127-G127</f>
        <v>600</v>
      </c>
      <c r="I127" s="18">
        <f>I126+H127</f>
        <v>476.1600000000002</v>
      </c>
      <c r="J127" s="17">
        <v>0</v>
      </c>
      <c r="K127" s="19" t="s">
        <v>13</v>
      </c>
      <c r="L127" s="19" t="s">
        <v>13</v>
      </c>
    </row>
    <row r="128" spans="1:12" outlineLevel="1">
      <c r="A128" s="1">
        <v>1101</v>
      </c>
      <c r="B128" s="2" t="s">
        <v>162</v>
      </c>
      <c r="C128" s="3">
        <v>45962</v>
      </c>
      <c r="D128" s="2" t="s">
        <v>105</v>
      </c>
      <c r="E128" s="2">
        <v>9988776655</v>
      </c>
      <c r="F128" s="17">
        <v>21.81</v>
      </c>
      <c r="G128" s="17">
        <v>0</v>
      </c>
      <c r="H128" s="18">
        <f>F128-G128</f>
        <v>21.81</v>
      </c>
      <c r="I128" s="18">
        <f>I127+H128</f>
        <v>497.9700000000002</v>
      </c>
      <c r="J128" s="17">
        <v>0</v>
      </c>
      <c r="K128" s="19" t="s">
        <v>13</v>
      </c>
      <c r="L128" s="19" t="s">
        <v>13</v>
      </c>
    </row>
    <row r="129" spans="1:12" outlineLevel="1">
      <c r="A129" s="1">
        <v>1101</v>
      </c>
      <c r="B129" s="2" t="s">
        <v>162</v>
      </c>
      <c r="C129" s="3">
        <v>45962</v>
      </c>
      <c r="D129" s="2" t="s">
        <v>105</v>
      </c>
      <c r="E129" s="2" t="s">
        <v>107</v>
      </c>
      <c r="F129" s="17">
        <v>289.41000000000003</v>
      </c>
      <c r="G129" s="17">
        <v>0</v>
      </c>
      <c r="H129" s="18">
        <f>F129-G129</f>
        <v>289.41000000000003</v>
      </c>
      <c r="I129" s="18">
        <f>I128+H129</f>
        <v>787.38000000000022</v>
      </c>
      <c r="J129" s="17">
        <v>0</v>
      </c>
      <c r="K129" s="19" t="s">
        <v>13</v>
      </c>
      <c r="L129" s="19" t="s">
        <v>13</v>
      </c>
    </row>
    <row r="130" spans="1:12" outlineLevel="1">
      <c r="A130" s="1">
        <v>1600</v>
      </c>
      <c r="B130" s="2" t="s">
        <v>20</v>
      </c>
      <c r="C130" s="3">
        <v>45975</v>
      </c>
      <c r="D130" s="2" t="s">
        <v>67</v>
      </c>
      <c r="E130" s="2" t="s">
        <v>110</v>
      </c>
      <c r="F130" s="17">
        <v>0</v>
      </c>
      <c r="G130" s="17">
        <v>709.71</v>
      </c>
      <c r="H130" s="18">
        <f>F130-G130</f>
        <v>-709.71</v>
      </c>
      <c r="I130" s="18">
        <f>I129+H130</f>
        <v>77.670000000000186</v>
      </c>
      <c r="J130" s="17">
        <v>0</v>
      </c>
      <c r="K130" s="19" t="s">
        <v>13</v>
      </c>
      <c r="L130" s="19" t="s">
        <v>13</v>
      </c>
    </row>
    <row r="131" spans="1:12" outlineLevel="1">
      <c r="A131" s="1">
        <v>1101</v>
      </c>
      <c r="B131" s="2" t="s">
        <v>162</v>
      </c>
      <c r="C131" s="3">
        <v>45976</v>
      </c>
      <c r="D131" s="2" t="s">
        <v>67</v>
      </c>
      <c r="E131" s="2" t="s">
        <v>110</v>
      </c>
      <c r="F131" s="17">
        <v>709.71</v>
      </c>
      <c r="G131" s="17">
        <v>0</v>
      </c>
      <c r="H131" s="18">
        <f>F131-G131</f>
        <v>709.71</v>
      </c>
      <c r="I131" s="18">
        <f>I130+H131</f>
        <v>787.38000000000022</v>
      </c>
      <c r="J131" s="17">
        <v>0</v>
      </c>
      <c r="K131" s="19" t="s">
        <v>13</v>
      </c>
      <c r="L131" s="19" t="s">
        <v>13</v>
      </c>
    </row>
    <row r="132" spans="1:12" outlineLevel="1">
      <c r="A132" s="1">
        <v>1600</v>
      </c>
      <c r="B132" s="2" t="s">
        <v>20</v>
      </c>
      <c r="C132" s="3">
        <v>45976</v>
      </c>
      <c r="D132" s="2" t="s">
        <v>56</v>
      </c>
      <c r="E132" s="2" t="s">
        <v>111</v>
      </c>
      <c r="F132" s="17">
        <v>0</v>
      </c>
      <c r="G132" s="17">
        <v>884.82</v>
      </c>
      <c r="H132" s="18">
        <f>F132-G132</f>
        <v>-884.82</v>
      </c>
      <c r="I132" s="18">
        <f>I131+H132</f>
        <v>-97.439999999999827</v>
      </c>
      <c r="J132" s="17">
        <v>0</v>
      </c>
      <c r="K132" s="19" t="s">
        <v>13</v>
      </c>
      <c r="L132" s="19" t="s">
        <v>13</v>
      </c>
    </row>
    <row r="133" spans="1:12" outlineLevel="1">
      <c r="A133" s="1">
        <v>1101</v>
      </c>
      <c r="B133" s="2" t="s">
        <v>162</v>
      </c>
      <c r="C133" s="3">
        <v>45978</v>
      </c>
      <c r="D133" s="2" t="s">
        <v>56</v>
      </c>
      <c r="E133" s="2" t="s">
        <v>111</v>
      </c>
      <c r="F133" s="17">
        <v>884.82</v>
      </c>
      <c r="G133" s="17">
        <v>0</v>
      </c>
      <c r="H133" s="18">
        <f>F133-G133</f>
        <v>884.82</v>
      </c>
      <c r="I133" s="18">
        <f>I132+H133</f>
        <v>787.38000000000022</v>
      </c>
      <c r="J133" s="17">
        <v>0</v>
      </c>
      <c r="K133" s="19" t="s">
        <v>13</v>
      </c>
      <c r="L133" s="19" t="s">
        <v>13</v>
      </c>
    </row>
    <row r="134" spans="1:12" outlineLevel="1">
      <c r="A134" s="1">
        <v>1101</v>
      </c>
      <c r="B134" s="2" t="s">
        <v>162</v>
      </c>
      <c r="C134" s="3">
        <v>45980</v>
      </c>
      <c r="D134" s="2" t="s">
        <v>70</v>
      </c>
      <c r="E134" s="2">
        <v>8353456773146</v>
      </c>
      <c r="F134" s="17">
        <v>805.62</v>
      </c>
      <c r="G134" s="17">
        <v>0</v>
      </c>
      <c r="H134" s="18">
        <f>F134-G134</f>
        <v>805.62</v>
      </c>
      <c r="I134" s="18">
        <f>I133+H134</f>
        <v>1593.0000000000002</v>
      </c>
      <c r="J134" s="17">
        <v>0</v>
      </c>
      <c r="K134" s="19" t="s">
        <v>13</v>
      </c>
      <c r="L134" s="19" t="s">
        <v>13</v>
      </c>
    </row>
    <row r="135" spans="1:12" outlineLevel="1">
      <c r="A135" s="1">
        <v>1101</v>
      </c>
      <c r="B135" s="2" t="s">
        <v>162</v>
      </c>
      <c r="C135" s="3">
        <v>45980</v>
      </c>
      <c r="D135" s="2" t="s">
        <v>105</v>
      </c>
      <c r="E135" s="2" t="s">
        <v>112</v>
      </c>
      <c r="F135" s="17">
        <v>441.81</v>
      </c>
      <c r="G135" s="17">
        <v>0</v>
      </c>
      <c r="H135" s="18">
        <f>F135-G135</f>
        <v>441.81</v>
      </c>
      <c r="I135" s="18">
        <f>I134+H135</f>
        <v>2034.8100000000002</v>
      </c>
      <c r="J135" s="17">
        <v>0</v>
      </c>
      <c r="K135" s="19" t="s">
        <v>13</v>
      </c>
      <c r="L135" s="19" t="s">
        <v>13</v>
      </c>
    </row>
    <row r="136" spans="1:12" outlineLevel="1">
      <c r="A136" s="1">
        <v>1600</v>
      </c>
      <c r="B136" s="2" t="s">
        <v>20</v>
      </c>
      <c r="C136" s="3">
        <v>45980</v>
      </c>
      <c r="D136" s="2" t="s">
        <v>70</v>
      </c>
      <c r="E136" s="2">
        <v>8353456773146</v>
      </c>
      <c r="F136" s="17">
        <v>0</v>
      </c>
      <c r="G136" s="17">
        <v>805.62</v>
      </c>
      <c r="H136" s="18">
        <f>F136-G136</f>
        <v>-805.62</v>
      </c>
      <c r="I136" s="18">
        <f>I135+H136</f>
        <v>1229.19</v>
      </c>
      <c r="J136" s="17">
        <v>0</v>
      </c>
      <c r="K136" s="19" t="s">
        <v>13</v>
      </c>
      <c r="L136" s="19" t="s">
        <v>13</v>
      </c>
    </row>
    <row r="137" spans="1:12" outlineLevel="1">
      <c r="A137" s="1">
        <v>1101</v>
      </c>
      <c r="B137" s="2" t="s">
        <v>162</v>
      </c>
      <c r="C137" s="3">
        <v>45980</v>
      </c>
      <c r="D137" s="2" t="s">
        <v>105</v>
      </c>
      <c r="E137" s="2" t="s">
        <v>107</v>
      </c>
      <c r="F137" s="17">
        <v>758.19</v>
      </c>
      <c r="G137" s="17">
        <v>0</v>
      </c>
      <c r="H137" s="18">
        <f>F137-G137</f>
        <v>758.19</v>
      </c>
      <c r="I137" s="18">
        <f>I136+H137</f>
        <v>1987.38</v>
      </c>
      <c r="J137" s="17">
        <v>0</v>
      </c>
      <c r="K137" s="19" t="s">
        <v>13</v>
      </c>
      <c r="L137" s="19" t="s">
        <v>13</v>
      </c>
    </row>
    <row r="138" spans="1:12" outlineLevel="1">
      <c r="A138" s="1">
        <v>1101</v>
      </c>
      <c r="B138" s="2" t="s">
        <v>162</v>
      </c>
      <c r="C138" s="3">
        <v>45984</v>
      </c>
      <c r="D138" s="2" t="s">
        <v>105</v>
      </c>
      <c r="E138" s="2" t="s">
        <v>107</v>
      </c>
      <c r="F138" s="17">
        <v>30</v>
      </c>
      <c r="G138" s="17">
        <v>0</v>
      </c>
      <c r="H138" s="18">
        <f>F138-G138</f>
        <v>30</v>
      </c>
      <c r="I138" s="18">
        <f>I137+H138</f>
        <v>2017.38</v>
      </c>
      <c r="J138" s="17">
        <v>0</v>
      </c>
      <c r="K138" s="19" t="s">
        <v>13</v>
      </c>
      <c r="L138" s="19" t="s">
        <v>13</v>
      </c>
    </row>
    <row r="139" spans="1:12" outlineLevel="1">
      <c r="A139" s="1">
        <v>1101</v>
      </c>
      <c r="B139" s="2" t="s">
        <v>162</v>
      </c>
      <c r="C139" s="3">
        <v>45985</v>
      </c>
      <c r="D139" s="2" t="s">
        <v>105</v>
      </c>
      <c r="E139" s="2" t="s">
        <v>107</v>
      </c>
      <c r="F139" s="17">
        <v>30</v>
      </c>
      <c r="G139" s="17">
        <v>0</v>
      </c>
      <c r="H139" s="18">
        <f>F139-G139</f>
        <v>30</v>
      </c>
      <c r="I139" s="18">
        <f>I138+H139</f>
        <v>2047.38</v>
      </c>
      <c r="J139" s="17">
        <v>0</v>
      </c>
      <c r="K139" s="19" t="s">
        <v>13</v>
      </c>
      <c r="L139" s="19" t="s">
        <v>13</v>
      </c>
    </row>
    <row r="140" spans="1:12" outlineLevel="1">
      <c r="A140" s="1">
        <v>1101</v>
      </c>
      <c r="B140" s="2" t="s">
        <v>162</v>
      </c>
      <c r="C140" s="3">
        <v>45986</v>
      </c>
      <c r="D140" s="2" t="s">
        <v>105</v>
      </c>
      <c r="E140" s="2" t="s">
        <v>107</v>
      </c>
      <c r="F140" s="17">
        <v>150</v>
      </c>
      <c r="G140" s="17">
        <v>0</v>
      </c>
      <c r="H140" s="18">
        <f>F140-G140</f>
        <v>150</v>
      </c>
      <c r="I140" s="18">
        <f>I139+H140</f>
        <v>2197.38</v>
      </c>
      <c r="J140" s="17">
        <v>0</v>
      </c>
      <c r="K140" s="19" t="s">
        <v>13</v>
      </c>
      <c r="L140" s="19" t="s">
        <v>13</v>
      </c>
    </row>
    <row r="141" spans="1:12" outlineLevel="1">
      <c r="A141" s="1">
        <v>1101</v>
      </c>
      <c r="B141" s="2" t="s">
        <v>162</v>
      </c>
      <c r="C141" s="3">
        <v>45988</v>
      </c>
      <c r="D141" s="2" t="s">
        <v>105</v>
      </c>
      <c r="E141" s="2" t="s">
        <v>107</v>
      </c>
      <c r="F141" s="17">
        <v>150</v>
      </c>
      <c r="G141" s="17">
        <v>0</v>
      </c>
      <c r="H141" s="18">
        <f>F141-G141</f>
        <v>150</v>
      </c>
      <c r="I141" s="18">
        <f>I140+H141</f>
        <v>2347.38</v>
      </c>
      <c r="J141" s="17">
        <v>0</v>
      </c>
      <c r="K141" s="19" t="s">
        <v>13</v>
      </c>
      <c r="L141" s="19" t="s">
        <v>13</v>
      </c>
    </row>
    <row r="142" spans="1:12" outlineLevel="1">
      <c r="A142" s="1">
        <v>1101</v>
      </c>
      <c r="B142" s="2" t="s">
        <v>162</v>
      </c>
      <c r="C142" s="3">
        <v>45988</v>
      </c>
      <c r="D142" s="2" t="s">
        <v>105</v>
      </c>
      <c r="E142" s="2" t="s">
        <v>107</v>
      </c>
      <c r="F142" s="17">
        <v>23.01</v>
      </c>
      <c r="G142" s="17">
        <v>0</v>
      </c>
      <c r="H142" s="18">
        <f>F142-G142</f>
        <v>23.01</v>
      </c>
      <c r="I142" s="18">
        <f>I141+H142</f>
        <v>2370.3900000000003</v>
      </c>
      <c r="J142" s="17">
        <v>0</v>
      </c>
      <c r="K142" s="19" t="s">
        <v>13</v>
      </c>
      <c r="L142" s="19" t="s">
        <v>13</v>
      </c>
    </row>
    <row r="143" spans="1:12" outlineLevel="1">
      <c r="A143" s="1">
        <v>1600</v>
      </c>
      <c r="B143" s="2" t="s">
        <v>20</v>
      </c>
      <c r="C143" s="3">
        <v>45990</v>
      </c>
      <c r="D143" s="2" t="s">
        <v>92</v>
      </c>
      <c r="E143" s="2" t="s">
        <v>113</v>
      </c>
      <c r="F143" s="17">
        <v>0</v>
      </c>
      <c r="G143" s="17">
        <v>42.48</v>
      </c>
      <c r="H143" s="18">
        <f>F143-G143</f>
        <v>-42.48</v>
      </c>
      <c r="I143" s="18">
        <f>I142+H143</f>
        <v>2327.9100000000003</v>
      </c>
      <c r="J143" s="17">
        <v>0</v>
      </c>
      <c r="K143" s="19" t="s">
        <v>13</v>
      </c>
      <c r="L143" s="19" t="s">
        <v>13</v>
      </c>
    </row>
    <row r="144" spans="1:12" outlineLevel="1">
      <c r="A144" s="1">
        <v>1600</v>
      </c>
      <c r="B144" s="2" t="s">
        <v>20</v>
      </c>
      <c r="C144" s="3">
        <v>45991</v>
      </c>
      <c r="D144" s="2" t="s">
        <v>105</v>
      </c>
      <c r="E144" s="2">
        <v>9988776655</v>
      </c>
      <c r="F144" s="17">
        <v>0</v>
      </c>
      <c r="G144" s="17">
        <v>621.80999999999995</v>
      </c>
      <c r="H144" s="18">
        <f>F144-G144</f>
        <v>-621.80999999999995</v>
      </c>
      <c r="I144" s="18">
        <f>I143+H144</f>
        <v>1706.1000000000004</v>
      </c>
      <c r="J144" s="17">
        <v>0</v>
      </c>
      <c r="K144" s="19" t="s">
        <v>13</v>
      </c>
      <c r="L144" s="19" t="s">
        <v>13</v>
      </c>
    </row>
    <row r="145" spans="1:12" outlineLevel="1">
      <c r="A145" s="1">
        <v>1600</v>
      </c>
      <c r="B145" s="2" t="s">
        <v>20</v>
      </c>
      <c r="C145" s="3">
        <v>45991</v>
      </c>
      <c r="D145" s="2" t="s">
        <v>105</v>
      </c>
      <c r="E145" s="2" t="s">
        <v>112</v>
      </c>
      <c r="F145" s="17">
        <v>0</v>
      </c>
      <c r="G145" s="17">
        <v>441.81</v>
      </c>
      <c r="H145" s="18">
        <f>F145-G145</f>
        <v>-441.81</v>
      </c>
      <c r="I145" s="18">
        <f>I144+H145</f>
        <v>1264.2900000000004</v>
      </c>
      <c r="J145" s="17">
        <v>0</v>
      </c>
      <c r="K145" s="19" t="s">
        <v>13</v>
      </c>
      <c r="L145" s="19" t="s">
        <v>13</v>
      </c>
    </row>
    <row r="146" spans="1:12" outlineLevel="1">
      <c r="A146" s="1">
        <v>1101</v>
      </c>
      <c r="B146" s="2" t="s">
        <v>162</v>
      </c>
      <c r="C146" s="3">
        <v>45992</v>
      </c>
      <c r="D146" s="2" t="s">
        <v>72</v>
      </c>
      <c r="E146" s="2" t="s">
        <v>114</v>
      </c>
      <c r="F146" s="17">
        <v>57.03</v>
      </c>
      <c r="G146" s="17">
        <v>0</v>
      </c>
      <c r="H146" s="18">
        <f>F146-G146</f>
        <v>57.03</v>
      </c>
      <c r="I146" s="18">
        <f>I145+H146</f>
        <v>1321.3200000000004</v>
      </c>
      <c r="J146" s="17">
        <v>0</v>
      </c>
      <c r="K146" s="19" t="s">
        <v>13</v>
      </c>
      <c r="L146" s="19" t="s">
        <v>13</v>
      </c>
    </row>
    <row r="147" spans="1:12" outlineLevel="1">
      <c r="A147" s="1">
        <v>1101</v>
      </c>
      <c r="B147" s="2" t="s">
        <v>162</v>
      </c>
      <c r="C147" s="3">
        <v>45992</v>
      </c>
      <c r="D147" s="2" t="s">
        <v>105</v>
      </c>
      <c r="E147" s="2" t="s">
        <v>107</v>
      </c>
      <c r="F147" s="17">
        <v>105.09</v>
      </c>
      <c r="G147" s="17">
        <v>0</v>
      </c>
      <c r="H147" s="18">
        <f>F147-G147</f>
        <v>105.09</v>
      </c>
      <c r="I147" s="18">
        <f>I146+H147</f>
        <v>1426.4100000000003</v>
      </c>
      <c r="J147" s="17">
        <v>0</v>
      </c>
      <c r="K147" s="19" t="s">
        <v>13</v>
      </c>
      <c r="L147" s="19" t="s">
        <v>13</v>
      </c>
    </row>
    <row r="148" spans="1:12" outlineLevel="1">
      <c r="A148" s="1">
        <v>1600</v>
      </c>
      <c r="B148" s="2" t="s">
        <v>20</v>
      </c>
      <c r="C148" s="3">
        <v>45992</v>
      </c>
      <c r="D148" s="2" t="s">
        <v>72</v>
      </c>
      <c r="E148" s="2" t="s">
        <v>114</v>
      </c>
      <c r="F148" s="17">
        <v>0</v>
      </c>
      <c r="G148" s="17">
        <v>57.03</v>
      </c>
      <c r="H148" s="18">
        <f>F148-G148</f>
        <v>-57.03</v>
      </c>
      <c r="I148" s="18">
        <f>I147+H148</f>
        <v>1369.3800000000003</v>
      </c>
      <c r="J148" s="17">
        <v>0</v>
      </c>
      <c r="K148" s="19" t="s">
        <v>13</v>
      </c>
      <c r="L148" s="19" t="s">
        <v>13</v>
      </c>
    </row>
    <row r="149" spans="1:12" outlineLevel="1">
      <c r="A149" s="1">
        <v>1101</v>
      </c>
      <c r="B149" s="2" t="s">
        <v>162</v>
      </c>
      <c r="C149" s="3">
        <v>45993</v>
      </c>
      <c r="D149" s="2" t="s">
        <v>115</v>
      </c>
      <c r="E149" s="2">
        <v>50314162</v>
      </c>
      <c r="F149" s="17">
        <v>450</v>
      </c>
      <c r="G149" s="17">
        <v>0</v>
      </c>
      <c r="H149" s="18">
        <f>F149-G149</f>
        <v>450</v>
      </c>
      <c r="I149" s="18">
        <f>I148+H149</f>
        <v>1819.3800000000003</v>
      </c>
      <c r="J149" s="17">
        <v>0</v>
      </c>
      <c r="K149" s="19" t="s">
        <v>13</v>
      </c>
      <c r="L149" s="19" t="s">
        <v>13</v>
      </c>
    </row>
    <row r="150" spans="1:12" outlineLevel="1">
      <c r="A150" s="1">
        <v>1600</v>
      </c>
      <c r="B150" s="2" t="s">
        <v>20</v>
      </c>
      <c r="C150" s="3">
        <v>45993</v>
      </c>
      <c r="D150" s="2" t="s">
        <v>115</v>
      </c>
      <c r="E150" s="2">
        <v>50314162</v>
      </c>
      <c r="F150" s="17">
        <v>0</v>
      </c>
      <c r="G150" s="17">
        <v>450</v>
      </c>
      <c r="H150" s="18">
        <f>F150-G150</f>
        <v>-450</v>
      </c>
      <c r="I150" s="18">
        <f>I149+H150</f>
        <v>1369.3800000000003</v>
      </c>
      <c r="J150" s="17">
        <v>0</v>
      </c>
      <c r="K150" s="19" t="s">
        <v>13</v>
      </c>
      <c r="L150" s="19" t="s">
        <v>13</v>
      </c>
    </row>
    <row r="151" spans="1:12" outlineLevel="1">
      <c r="A151" s="1">
        <v>1101</v>
      </c>
      <c r="B151" s="2" t="s">
        <v>162</v>
      </c>
      <c r="C151" s="3">
        <v>45994</v>
      </c>
      <c r="D151" s="2" t="s">
        <v>92</v>
      </c>
      <c r="E151" s="2" t="s">
        <v>113</v>
      </c>
      <c r="F151" s="17">
        <v>42.48</v>
      </c>
      <c r="G151" s="17">
        <v>0</v>
      </c>
      <c r="H151" s="18">
        <f>F151-G151</f>
        <v>42.48</v>
      </c>
      <c r="I151" s="18">
        <f>I150+H151</f>
        <v>1411.8600000000004</v>
      </c>
      <c r="J151" s="17">
        <v>0</v>
      </c>
      <c r="K151" s="19" t="s">
        <v>13</v>
      </c>
      <c r="L151" s="19" t="s">
        <v>13</v>
      </c>
    </row>
    <row r="152" spans="1:12" outlineLevel="1">
      <c r="A152" s="1">
        <v>1101</v>
      </c>
      <c r="B152" s="2" t="s">
        <v>162</v>
      </c>
      <c r="C152" s="3">
        <v>45994</v>
      </c>
      <c r="D152" s="2" t="s">
        <v>105</v>
      </c>
      <c r="E152" s="2" t="s">
        <v>107</v>
      </c>
      <c r="F152" s="17">
        <v>441.81</v>
      </c>
      <c r="G152" s="17">
        <v>0</v>
      </c>
      <c r="H152" s="18">
        <f>F152-G152</f>
        <v>441.81</v>
      </c>
      <c r="I152" s="18">
        <f>I151+H152</f>
        <v>1853.6700000000003</v>
      </c>
      <c r="J152" s="17">
        <v>0</v>
      </c>
      <c r="K152" s="19" t="s">
        <v>13</v>
      </c>
      <c r="L152" s="19" t="s">
        <v>13</v>
      </c>
    </row>
    <row r="153" spans="1:12" outlineLevel="1">
      <c r="A153" s="1">
        <v>1600</v>
      </c>
      <c r="B153" s="2" t="s">
        <v>20</v>
      </c>
      <c r="C153" s="3">
        <v>45995</v>
      </c>
      <c r="D153" s="2" t="s">
        <v>77</v>
      </c>
      <c r="E153" s="2" t="s">
        <v>116</v>
      </c>
      <c r="F153" s="17">
        <v>0</v>
      </c>
      <c r="G153" s="17">
        <v>602.1</v>
      </c>
      <c r="H153" s="18">
        <f>F153-G153</f>
        <v>-602.1</v>
      </c>
      <c r="I153" s="18">
        <f>I152+H153</f>
        <v>1251.5700000000002</v>
      </c>
      <c r="J153" s="17">
        <v>0</v>
      </c>
      <c r="K153" s="19" t="s">
        <v>13</v>
      </c>
      <c r="L153" s="19" t="s">
        <v>13</v>
      </c>
    </row>
    <row r="154" spans="1:12" outlineLevel="1">
      <c r="A154" s="1">
        <v>1101</v>
      </c>
      <c r="B154" s="2" t="s">
        <v>162</v>
      </c>
      <c r="C154" s="3">
        <v>45996</v>
      </c>
      <c r="D154" s="2" t="s">
        <v>77</v>
      </c>
      <c r="E154" s="2" t="s">
        <v>116</v>
      </c>
      <c r="F154" s="17">
        <v>602.1</v>
      </c>
      <c r="G154" s="17">
        <v>0</v>
      </c>
      <c r="H154" s="18">
        <f>F154-G154</f>
        <v>602.1</v>
      </c>
      <c r="I154" s="18">
        <f>I153+H154</f>
        <v>1853.67</v>
      </c>
      <c r="J154" s="17">
        <v>0</v>
      </c>
      <c r="K154" s="19" t="s">
        <v>13</v>
      </c>
      <c r="L154" s="19" t="s">
        <v>13</v>
      </c>
    </row>
    <row r="155" spans="1:12" outlineLevel="1">
      <c r="A155" s="1">
        <v>1600</v>
      </c>
      <c r="B155" s="2" t="s">
        <v>20</v>
      </c>
      <c r="C155" s="3">
        <v>45996</v>
      </c>
      <c r="D155" s="2" t="s">
        <v>117</v>
      </c>
      <c r="E155" s="2">
        <v>990011223344</v>
      </c>
      <c r="F155" s="17">
        <v>0</v>
      </c>
      <c r="G155" s="17">
        <v>320.55</v>
      </c>
      <c r="H155" s="18">
        <f>F155-G155</f>
        <v>-320.55</v>
      </c>
      <c r="I155" s="18">
        <f>I154+H155</f>
        <v>1533.1200000000001</v>
      </c>
      <c r="J155" s="17">
        <v>0</v>
      </c>
      <c r="K155" s="19" t="s">
        <v>13</v>
      </c>
      <c r="L155" s="19" t="s">
        <v>13</v>
      </c>
    </row>
    <row r="156" spans="1:12" outlineLevel="1">
      <c r="A156" s="1">
        <v>1600</v>
      </c>
      <c r="B156" s="2" t="s">
        <v>20</v>
      </c>
      <c r="C156" s="3">
        <v>46000</v>
      </c>
      <c r="D156" s="2" t="s">
        <v>118</v>
      </c>
      <c r="E156" s="2">
        <v>2025113</v>
      </c>
      <c r="F156" s="17">
        <v>0</v>
      </c>
      <c r="G156" s="17">
        <v>21780</v>
      </c>
      <c r="H156" s="18">
        <f>F156-G156</f>
        <v>-21780</v>
      </c>
      <c r="I156" s="18">
        <f>I155+H156</f>
        <v>-20246.88</v>
      </c>
      <c r="J156" s="17">
        <v>0</v>
      </c>
      <c r="K156" s="19" t="s">
        <v>13</v>
      </c>
      <c r="L156" s="19" t="s">
        <v>13</v>
      </c>
    </row>
    <row r="157" spans="1:12" outlineLevel="1">
      <c r="A157" s="1">
        <v>1600</v>
      </c>
      <c r="B157" s="2" t="s">
        <v>20</v>
      </c>
      <c r="C157" s="3">
        <v>46000</v>
      </c>
      <c r="D157" s="2" t="s">
        <v>118</v>
      </c>
      <c r="E157" s="2">
        <v>2025114</v>
      </c>
      <c r="F157" s="17">
        <v>0</v>
      </c>
      <c r="G157" s="17">
        <v>21780</v>
      </c>
      <c r="H157" s="18">
        <f>F157-G157</f>
        <v>-21780</v>
      </c>
      <c r="I157" s="18">
        <f>I156+H157</f>
        <v>-42026.880000000005</v>
      </c>
      <c r="J157" s="17">
        <v>0</v>
      </c>
      <c r="K157" s="19" t="s">
        <v>13</v>
      </c>
      <c r="L157" s="19" t="s">
        <v>13</v>
      </c>
    </row>
    <row r="158" spans="1:12" outlineLevel="1">
      <c r="A158" s="1">
        <v>1101</v>
      </c>
      <c r="B158" s="2" t="s">
        <v>162</v>
      </c>
      <c r="C158" s="3">
        <v>46001</v>
      </c>
      <c r="D158" s="2" t="s">
        <v>79</v>
      </c>
      <c r="E158" s="2">
        <v>30282742</v>
      </c>
      <c r="F158" s="17">
        <v>272.25</v>
      </c>
      <c r="G158" s="17">
        <v>0</v>
      </c>
      <c r="H158" s="18">
        <f>F158-G158</f>
        <v>272.25</v>
      </c>
      <c r="I158" s="18">
        <f>I157+H158</f>
        <v>-41754.630000000005</v>
      </c>
      <c r="J158" s="17">
        <v>0</v>
      </c>
      <c r="K158" s="19" t="s">
        <v>13</v>
      </c>
      <c r="L158" s="19" t="s">
        <v>13</v>
      </c>
    </row>
    <row r="159" spans="1:12" outlineLevel="1">
      <c r="A159" s="1">
        <v>1600</v>
      </c>
      <c r="B159" s="2" t="s">
        <v>20</v>
      </c>
      <c r="C159" s="3">
        <v>46001</v>
      </c>
      <c r="D159" s="2" t="s">
        <v>119</v>
      </c>
      <c r="E159" s="2">
        <v>20251210</v>
      </c>
      <c r="F159" s="17">
        <v>0</v>
      </c>
      <c r="G159" s="17">
        <v>24</v>
      </c>
      <c r="H159" s="18">
        <f>F159-G159</f>
        <v>-24</v>
      </c>
      <c r="I159" s="18">
        <f>I158+H159</f>
        <v>-41778.630000000005</v>
      </c>
      <c r="J159" s="17">
        <v>0</v>
      </c>
      <c r="K159" s="19" t="s">
        <v>13</v>
      </c>
      <c r="L159" s="19" t="s">
        <v>13</v>
      </c>
    </row>
    <row r="160" spans="1:12" outlineLevel="1">
      <c r="A160" s="1">
        <v>1600</v>
      </c>
      <c r="B160" s="2" t="s">
        <v>20</v>
      </c>
      <c r="C160" s="3">
        <v>46001</v>
      </c>
      <c r="D160" s="2" t="s">
        <v>79</v>
      </c>
      <c r="E160" s="2">
        <v>30282742</v>
      </c>
      <c r="F160" s="17">
        <v>0</v>
      </c>
      <c r="G160" s="17">
        <v>272.25</v>
      </c>
      <c r="H160" s="18">
        <f>F160-G160</f>
        <v>-272.25</v>
      </c>
      <c r="I160" s="18">
        <f>I159+H160</f>
        <v>-42050.880000000005</v>
      </c>
      <c r="J160" s="17">
        <v>0</v>
      </c>
      <c r="K160" s="19" t="s">
        <v>13</v>
      </c>
      <c r="L160" s="19" t="s">
        <v>13</v>
      </c>
    </row>
    <row r="161" spans="1:12" outlineLevel="1">
      <c r="A161" s="1">
        <v>1101</v>
      </c>
      <c r="B161" s="2" t="s">
        <v>162</v>
      </c>
      <c r="C161" s="3">
        <v>46003</v>
      </c>
      <c r="D161" s="2" t="s">
        <v>82</v>
      </c>
      <c r="E161" s="2">
        <v>20251212</v>
      </c>
      <c r="F161" s="17">
        <v>61.65</v>
      </c>
      <c r="G161" s="17">
        <v>0</v>
      </c>
      <c r="H161" s="18">
        <f>F161-G161</f>
        <v>61.65</v>
      </c>
      <c r="I161" s="18">
        <f>I160+H161</f>
        <v>-41989.23</v>
      </c>
      <c r="J161" s="17">
        <v>0</v>
      </c>
      <c r="K161" s="19" t="s">
        <v>13</v>
      </c>
      <c r="L161" s="19" t="s">
        <v>13</v>
      </c>
    </row>
    <row r="162" spans="1:12" outlineLevel="1">
      <c r="A162" s="1">
        <v>1600</v>
      </c>
      <c r="B162" s="2" t="s">
        <v>20</v>
      </c>
      <c r="C162" s="3">
        <v>46003</v>
      </c>
      <c r="D162" s="2" t="s">
        <v>82</v>
      </c>
      <c r="E162" s="2">
        <v>20251212</v>
      </c>
      <c r="F162" s="17">
        <v>0</v>
      </c>
      <c r="G162" s="17">
        <v>61.65</v>
      </c>
      <c r="H162" s="18">
        <f>F162-G162</f>
        <v>-61.65</v>
      </c>
      <c r="I162" s="18">
        <f>I161+H162</f>
        <v>-42050.880000000005</v>
      </c>
      <c r="J162" s="17">
        <v>0</v>
      </c>
      <c r="K162" s="19" t="s">
        <v>13</v>
      </c>
      <c r="L162" s="19" t="s">
        <v>13</v>
      </c>
    </row>
    <row r="163" spans="1:12" outlineLevel="1">
      <c r="A163" s="1">
        <v>1101</v>
      </c>
      <c r="B163" s="2" t="s">
        <v>162</v>
      </c>
      <c r="C163" s="3">
        <v>46004</v>
      </c>
      <c r="D163" s="2" t="s">
        <v>119</v>
      </c>
      <c r="E163" s="2">
        <v>4478887780</v>
      </c>
      <c r="F163" s="17">
        <v>834</v>
      </c>
      <c r="G163" s="17">
        <v>0</v>
      </c>
      <c r="H163" s="18">
        <f>F163-G163</f>
        <v>834</v>
      </c>
      <c r="I163" s="18">
        <f>I162+H163</f>
        <v>-41216.880000000005</v>
      </c>
      <c r="J163" s="17">
        <v>0</v>
      </c>
      <c r="K163" s="19" t="s">
        <v>13</v>
      </c>
      <c r="L163" s="19" t="s">
        <v>13</v>
      </c>
    </row>
    <row r="164" spans="1:12" outlineLevel="1">
      <c r="A164" s="1">
        <v>1101</v>
      </c>
      <c r="B164" s="2" t="s">
        <v>162</v>
      </c>
      <c r="C164" s="3">
        <v>46004</v>
      </c>
      <c r="D164" s="2" t="s">
        <v>21</v>
      </c>
      <c r="E164" s="2">
        <v>20251213</v>
      </c>
      <c r="F164" s="17">
        <v>180</v>
      </c>
      <c r="G164" s="17">
        <v>0</v>
      </c>
      <c r="H164" s="18">
        <f>F164-G164</f>
        <v>180</v>
      </c>
      <c r="I164" s="18">
        <f>I163+H164</f>
        <v>-41036.880000000005</v>
      </c>
      <c r="J164" s="17">
        <v>0</v>
      </c>
      <c r="K164" s="19" t="s">
        <v>13</v>
      </c>
      <c r="L164" s="19" t="s">
        <v>13</v>
      </c>
    </row>
    <row r="165" spans="1:12" outlineLevel="1">
      <c r="A165" s="1">
        <v>1600</v>
      </c>
      <c r="B165" s="2" t="s">
        <v>20</v>
      </c>
      <c r="C165" s="3">
        <v>46004</v>
      </c>
      <c r="D165" s="2" t="s">
        <v>119</v>
      </c>
      <c r="E165" s="2">
        <v>4478887780</v>
      </c>
      <c r="F165" s="17">
        <v>0</v>
      </c>
      <c r="G165" s="17">
        <v>834</v>
      </c>
      <c r="H165" s="18">
        <f>F165-G165</f>
        <v>-834</v>
      </c>
      <c r="I165" s="18">
        <f>I164+H165</f>
        <v>-41870.880000000005</v>
      </c>
      <c r="J165" s="17">
        <v>0</v>
      </c>
      <c r="K165" s="19" t="s">
        <v>13</v>
      </c>
      <c r="L165" s="19" t="s">
        <v>13</v>
      </c>
    </row>
    <row r="166" spans="1:12" outlineLevel="1">
      <c r="A166" s="1">
        <v>1600</v>
      </c>
      <c r="B166" s="2" t="s">
        <v>20</v>
      </c>
      <c r="C166" s="3">
        <v>46004</v>
      </c>
      <c r="D166" s="2" t="s">
        <v>84</v>
      </c>
      <c r="E166" s="2">
        <v>20251213</v>
      </c>
      <c r="F166" s="17">
        <v>0</v>
      </c>
      <c r="G166" s="17">
        <v>180</v>
      </c>
      <c r="H166" s="18">
        <f>F166-G166</f>
        <v>-180</v>
      </c>
      <c r="I166" s="18">
        <f>I165+H166</f>
        <v>-42050.880000000005</v>
      </c>
      <c r="J166" s="17">
        <v>0</v>
      </c>
      <c r="K166" s="19" t="s">
        <v>13</v>
      </c>
      <c r="L166" s="19" t="s">
        <v>13</v>
      </c>
    </row>
    <row r="167" spans="1:12" outlineLevel="1">
      <c r="A167" s="1">
        <v>1101</v>
      </c>
      <c r="B167" s="2" t="s">
        <v>162</v>
      </c>
      <c r="C167" s="3">
        <v>46005</v>
      </c>
      <c r="D167" s="2" t="s">
        <v>105</v>
      </c>
      <c r="E167" s="2" t="s">
        <v>107</v>
      </c>
      <c r="F167" s="17">
        <v>600</v>
      </c>
      <c r="G167" s="17">
        <v>0</v>
      </c>
      <c r="H167" s="18">
        <f>F167-G167</f>
        <v>600</v>
      </c>
      <c r="I167" s="18">
        <f>I166+H167</f>
        <v>-41450.880000000005</v>
      </c>
      <c r="J167" s="17">
        <v>0</v>
      </c>
      <c r="K167" s="19" t="s">
        <v>13</v>
      </c>
      <c r="L167" s="19" t="s">
        <v>13</v>
      </c>
    </row>
    <row r="168" spans="1:12" outlineLevel="1">
      <c r="A168" s="1">
        <v>1600</v>
      </c>
      <c r="B168" s="2" t="s">
        <v>20</v>
      </c>
      <c r="C168" s="3">
        <v>46006</v>
      </c>
      <c r="D168" s="2" t="s">
        <v>56</v>
      </c>
      <c r="E168" s="2" t="s">
        <v>120</v>
      </c>
      <c r="F168" s="17">
        <v>0</v>
      </c>
      <c r="G168" s="17">
        <v>884.82</v>
      </c>
      <c r="H168" s="18">
        <f>F168-G168</f>
        <v>-884.82</v>
      </c>
      <c r="I168" s="18">
        <f>I167+H168</f>
        <v>-42335.700000000004</v>
      </c>
      <c r="J168" s="17">
        <v>0</v>
      </c>
      <c r="K168" s="19" t="s">
        <v>13</v>
      </c>
      <c r="L168" s="19" t="s">
        <v>13</v>
      </c>
    </row>
    <row r="169" spans="1:12" outlineLevel="1">
      <c r="A169" s="1">
        <v>1101</v>
      </c>
      <c r="B169" s="2" t="s">
        <v>162</v>
      </c>
      <c r="C169" s="3">
        <v>46008</v>
      </c>
      <c r="D169" s="2" t="s">
        <v>21</v>
      </c>
      <c r="E169" s="2">
        <v>20251217</v>
      </c>
      <c r="F169" s="17">
        <v>45</v>
      </c>
      <c r="G169" s="17">
        <v>0</v>
      </c>
      <c r="H169" s="18">
        <f>F169-G169</f>
        <v>45</v>
      </c>
      <c r="I169" s="18">
        <f>I168+H169</f>
        <v>-42290.700000000004</v>
      </c>
      <c r="J169" s="17">
        <v>0</v>
      </c>
      <c r="K169" s="19" t="s">
        <v>13</v>
      </c>
      <c r="L169" s="19" t="s">
        <v>13</v>
      </c>
    </row>
    <row r="170" spans="1:12" outlineLevel="1">
      <c r="A170" s="1">
        <v>1600</v>
      </c>
      <c r="B170" s="2" t="s">
        <v>20</v>
      </c>
      <c r="C170" s="3">
        <v>46008</v>
      </c>
      <c r="D170" s="2" t="s">
        <v>121</v>
      </c>
      <c r="E170" s="2">
        <v>20251217</v>
      </c>
      <c r="F170" s="17">
        <v>0</v>
      </c>
      <c r="G170" s="17">
        <v>45</v>
      </c>
      <c r="H170" s="18">
        <f>F170-G170</f>
        <v>-45</v>
      </c>
      <c r="I170" s="18">
        <f>I169+H170</f>
        <v>-42335.700000000004</v>
      </c>
      <c r="J170" s="17">
        <v>0</v>
      </c>
      <c r="K170" s="19" t="s">
        <v>13</v>
      </c>
      <c r="L170" s="19" t="s">
        <v>13</v>
      </c>
    </row>
    <row r="171" spans="1:12" outlineLevel="1">
      <c r="A171" s="1">
        <v>1600</v>
      </c>
      <c r="B171" s="2" t="s">
        <v>20</v>
      </c>
      <c r="C171" s="3">
        <v>46008</v>
      </c>
      <c r="D171" s="2" t="s">
        <v>117</v>
      </c>
      <c r="E171" s="2">
        <v>990011223355</v>
      </c>
      <c r="F171" s="17">
        <v>0</v>
      </c>
      <c r="G171" s="17">
        <v>440.1</v>
      </c>
      <c r="H171" s="18">
        <f>F171-G171</f>
        <v>-440.1</v>
      </c>
      <c r="I171" s="18">
        <f>I170+H171</f>
        <v>-42775.8</v>
      </c>
      <c r="J171" s="17">
        <v>0</v>
      </c>
      <c r="K171" s="19" t="s">
        <v>13</v>
      </c>
      <c r="L171" s="19" t="s">
        <v>13</v>
      </c>
    </row>
    <row r="172" spans="1:12" outlineLevel="1">
      <c r="A172" s="1">
        <v>1101</v>
      </c>
      <c r="B172" s="2" t="s">
        <v>162</v>
      </c>
      <c r="C172" s="3">
        <v>46009</v>
      </c>
      <c r="D172" s="2" t="s">
        <v>105</v>
      </c>
      <c r="E172" s="2">
        <v>20251231</v>
      </c>
      <c r="F172" s="17">
        <v>774.93</v>
      </c>
      <c r="G172" s="17">
        <v>0</v>
      </c>
      <c r="H172" s="18">
        <f>F172-G172</f>
        <v>774.93</v>
      </c>
      <c r="I172" s="18">
        <f>I171+H172</f>
        <v>-42000.87</v>
      </c>
      <c r="J172" s="17">
        <v>0</v>
      </c>
      <c r="K172" s="19" t="s">
        <v>13</v>
      </c>
      <c r="L172" s="19" t="s">
        <v>13</v>
      </c>
    </row>
    <row r="173" spans="1:12" outlineLevel="1">
      <c r="A173" s="1">
        <v>1101</v>
      </c>
      <c r="B173" s="2" t="s">
        <v>162</v>
      </c>
      <c r="C173" s="3">
        <v>46009</v>
      </c>
      <c r="D173" s="2" t="s">
        <v>118</v>
      </c>
      <c r="E173" s="2">
        <v>2025113</v>
      </c>
      <c r="F173" s="17">
        <v>21780</v>
      </c>
      <c r="G173" s="17">
        <v>0</v>
      </c>
      <c r="H173" s="18">
        <f>F173-G173</f>
        <v>21780</v>
      </c>
      <c r="I173" s="18">
        <f>I172+H173</f>
        <v>-20220.870000000003</v>
      </c>
      <c r="J173" s="17">
        <v>0</v>
      </c>
      <c r="K173" s="19" t="s">
        <v>13</v>
      </c>
      <c r="L173" s="19" t="s">
        <v>13</v>
      </c>
    </row>
    <row r="174" spans="1:12" outlineLevel="1">
      <c r="A174" s="1">
        <v>1101</v>
      </c>
      <c r="B174" s="2" t="s">
        <v>162</v>
      </c>
      <c r="C174" s="3">
        <v>46009</v>
      </c>
      <c r="D174" s="2" t="s">
        <v>105</v>
      </c>
      <c r="E174" s="2" t="s">
        <v>107</v>
      </c>
      <c r="F174" s="17">
        <v>125.07</v>
      </c>
      <c r="G174" s="17">
        <v>0</v>
      </c>
      <c r="H174" s="18">
        <f>F174-G174</f>
        <v>125.07</v>
      </c>
      <c r="I174" s="18">
        <f>I173+H174</f>
        <v>-20095.800000000003</v>
      </c>
      <c r="J174" s="17">
        <v>0</v>
      </c>
      <c r="K174" s="19" t="s">
        <v>13</v>
      </c>
      <c r="L174" s="19" t="s">
        <v>13</v>
      </c>
    </row>
    <row r="175" spans="1:12" outlineLevel="1">
      <c r="A175" s="1">
        <v>1101</v>
      </c>
      <c r="B175" s="2" t="s">
        <v>162</v>
      </c>
      <c r="C175" s="3">
        <v>46010</v>
      </c>
      <c r="D175" s="2" t="s">
        <v>118</v>
      </c>
      <c r="E175" s="2">
        <v>2025114</v>
      </c>
      <c r="F175" s="17">
        <v>21780</v>
      </c>
      <c r="G175" s="17">
        <v>0</v>
      </c>
      <c r="H175" s="18">
        <f>F175-G175</f>
        <v>21780</v>
      </c>
      <c r="I175" s="18">
        <f>I174+H175</f>
        <v>1684.1999999999971</v>
      </c>
      <c r="J175" s="17">
        <v>0</v>
      </c>
      <c r="K175" s="19" t="s">
        <v>13</v>
      </c>
      <c r="L175" s="19" t="s">
        <v>13</v>
      </c>
    </row>
    <row r="176" spans="1:12" outlineLevel="1">
      <c r="A176" s="1">
        <v>1101</v>
      </c>
      <c r="B176" s="2" t="s">
        <v>162</v>
      </c>
      <c r="C176" s="3">
        <v>46011</v>
      </c>
      <c r="D176" s="2" t="s">
        <v>21</v>
      </c>
      <c r="E176" s="2">
        <v>20251220</v>
      </c>
      <c r="F176" s="17">
        <v>615</v>
      </c>
      <c r="G176" s="17">
        <v>0</v>
      </c>
      <c r="H176" s="18">
        <f>F176-G176</f>
        <v>615</v>
      </c>
      <c r="I176" s="18">
        <f>I175+H176</f>
        <v>2299.1999999999971</v>
      </c>
      <c r="J176" s="17">
        <v>0</v>
      </c>
      <c r="K176" s="19" t="s">
        <v>13</v>
      </c>
      <c r="L176" s="19" t="s">
        <v>13</v>
      </c>
    </row>
    <row r="177" spans="1:12" outlineLevel="1">
      <c r="A177" s="1">
        <v>1600</v>
      </c>
      <c r="B177" s="2" t="s">
        <v>20</v>
      </c>
      <c r="C177" s="3">
        <v>46011</v>
      </c>
      <c r="D177" s="2" t="s">
        <v>122</v>
      </c>
      <c r="E177" s="2">
        <v>20251220</v>
      </c>
      <c r="F177" s="17">
        <v>0</v>
      </c>
      <c r="G177" s="17">
        <v>615</v>
      </c>
      <c r="H177" s="18">
        <f>F177-G177</f>
        <v>-615</v>
      </c>
      <c r="I177" s="18">
        <f>I176+H177</f>
        <v>1684.1999999999971</v>
      </c>
      <c r="J177" s="17">
        <v>0</v>
      </c>
      <c r="K177" s="19" t="s">
        <v>13</v>
      </c>
      <c r="L177" s="19" t="s">
        <v>13</v>
      </c>
    </row>
    <row r="178" spans="1:12" outlineLevel="1">
      <c r="A178" s="1">
        <v>1600</v>
      </c>
      <c r="B178" s="2" t="s">
        <v>20</v>
      </c>
      <c r="C178" s="3">
        <v>46013</v>
      </c>
      <c r="D178" s="2" t="s">
        <v>117</v>
      </c>
      <c r="E178" s="2">
        <v>990011223366</v>
      </c>
      <c r="F178" s="17">
        <v>0</v>
      </c>
      <c r="G178" s="17">
        <v>326.61</v>
      </c>
      <c r="H178" s="18">
        <f>F178-G178</f>
        <v>-326.61</v>
      </c>
      <c r="I178" s="18">
        <f>I177+H178</f>
        <v>1357.589999999997</v>
      </c>
      <c r="J178" s="17">
        <v>0</v>
      </c>
      <c r="K178" s="19" t="s">
        <v>13</v>
      </c>
      <c r="L178" s="19" t="s">
        <v>13</v>
      </c>
    </row>
    <row r="179" spans="1:12" outlineLevel="1">
      <c r="A179" s="1">
        <v>1101</v>
      </c>
      <c r="B179" s="2" t="s">
        <v>162</v>
      </c>
      <c r="C179" s="3">
        <v>46015</v>
      </c>
      <c r="D179" s="2" t="s">
        <v>92</v>
      </c>
      <c r="E179" s="2" t="s">
        <v>123</v>
      </c>
      <c r="F179" s="17">
        <v>1171.77</v>
      </c>
      <c r="G179" s="17">
        <v>0</v>
      </c>
      <c r="H179" s="18">
        <f>F179-G179</f>
        <v>1171.77</v>
      </c>
      <c r="I179" s="18">
        <f>I178+H179</f>
        <v>2529.3599999999969</v>
      </c>
      <c r="J179" s="17">
        <v>0</v>
      </c>
      <c r="K179" s="19" t="s">
        <v>13</v>
      </c>
      <c r="L179" s="19" t="s">
        <v>13</v>
      </c>
    </row>
    <row r="180" spans="1:12" outlineLevel="1">
      <c r="A180" s="1">
        <v>1600</v>
      </c>
      <c r="B180" s="2" t="s">
        <v>20</v>
      </c>
      <c r="C180" s="3">
        <v>46015</v>
      </c>
      <c r="D180" s="2" t="s">
        <v>92</v>
      </c>
      <c r="E180" s="2" t="s">
        <v>123</v>
      </c>
      <c r="F180" s="17">
        <v>0</v>
      </c>
      <c r="G180" s="17">
        <v>1171.77</v>
      </c>
      <c r="H180" s="18">
        <f>F180-G180</f>
        <v>-1171.77</v>
      </c>
      <c r="I180" s="18">
        <f>I179+H180</f>
        <v>1357.589999999997</v>
      </c>
      <c r="J180" s="17">
        <v>0</v>
      </c>
      <c r="K180" s="19" t="s">
        <v>13</v>
      </c>
      <c r="L180" s="19" t="s">
        <v>13</v>
      </c>
    </row>
    <row r="181" spans="1:12" outlineLevel="1">
      <c r="A181" s="1">
        <v>1600</v>
      </c>
      <c r="B181" s="2" t="s">
        <v>20</v>
      </c>
      <c r="C181" s="3">
        <v>46015</v>
      </c>
      <c r="D181" s="2" t="s">
        <v>124</v>
      </c>
      <c r="E181" s="2" t="s">
        <v>125</v>
      </c>
      <c r="F181" s="17">
        <v>0</v>
      </c>
      <c r="G181" s="17">
        <v>1851.3</v>
      </c>
      <c r="H181" s="18">
        <f>F181-G181</f>
        <v>-1851.3</v>
      </c>
      <c r="I181" s="18">
        <f>I180+H181</f>
        <v>-493.71000000000299</v>
      </c>
      <c r="J181" s="17">
        <v>0</v>
      </c>
      <c r="K181" s="19" t="s">
        <v>13</v>
      </c>
      <c r="L181" s="19" t="s">
        <v>13</v>
      </c>
    </row>
    <row r="182" spans="1:12" outlineLevel="1">
      <c r="A182" s="1">
        <v>1101</v>
      </c>
      <c r="B182" s="2" t="s">
        <v>162</v>
      </c>
      <c r="C182" s="3">
        <v>46018</v>
      </c>
      <c r="D182" s="2" t="s">
        <v>93</v>
      </c>
      <c r="E182" s="2">
        <v>20251227</v>
      </c>
      <c r="F182" s="17">
        <v>136.02000000000001</v>
      </c>
      <c r="G182" s="17">
        <v>0</v>
      </c>
      <c r="H182" s="18">
        <f>F182-G182</f>
        <v>136.02000000000001</v>
      </c>
      <c r="I182" s="18">
        <f>I181+H182</f>
        <v>-357.69000000000301</v>
      </c>
      <c r="J182" s="17">
        <v>0</v>
      </c>
      <c r="K182" s="19" t="s">
        <v>13</v>
      </c>
      <c r="L182" s="19" t="s">
        <v>13</v>
      </c>
    </row>
    <row r="183" spans="1:12" outlineLevel="1">
      <c r="A183" s="1">
        <v>1600</v>
      </c>
      <c r="B183" s="2" t="s">
        <v>20</v>
      </c>
      <c r="C183" s="3">
        <v>46018</v>
      </c>
      <c r="D183" s="2" t="s">
        <v>93</v>
      </c>
      <c r="E183" s="2">
        <v>20251227</v>
      </c>
      <c r="F183" s="17">
        <v>0</v>
      </c>
      <c r="G183" s="17">
        <v>136.02000000000001</v>
      </c>
      <c r="H183" s="18">
        <f>F183-G183</f>
        <v>-136.02000000000001</v>
      </c>
      <c r="I183" s="18">
        <f>I182+H183</f>
        <v>-493.71000000000299</v>
      </c>
      <c r="J183" s="17">
        <v>0</v>
      </c>
      <c r="K183" s="19" t="s">
        <v>13</v>
      </c>
      <c r="L183" s="19" t="s">
        <v>13</v>
      </c>
    </row>
    <row r="184" spans="1:12" outlineLevel="1">
      <c r="A184" s="1">
        <v>1101</v>
      </c>
      <c r="B184" s="2" t="s">
        <v>162</v>
      </c>
      <c r="C184" s="3">
        <v>46020</v>
      </c>
      <c r="D184" s="2" t="s">
        <v>124</v>
      </c>
      <c r="E184" s="2" t="s">
        <v>125</v>
      </c>
      <c r="F184" s="17">
        <v>1851.3</v>
      </c>
      <c r="G184" s="17">
        <v>0</v>
      </c>
      <c r="H184" s="18">
        <f>F184-G184</f>
        <v>1851.3</v>
      </c>
      <c r="I184" s="18">
        <f>I183+H184</f>
        <v>1357.589999999997</v>
      </c>
      <c r="J184" s="17">
        <v>0</v>
      </c>
      <c r="K184" s="19" t="s">
        <v>13</v>
      </c>
      <c r="L184" s="19" t="s">
        <v>13</v>
      </c>
    </row>
    <row r="185" spans="1:12" outlineLevel="1">
      <c r="A185" s="1">
        <v>1600</v>
      </c>
      <c r="B185" s="2" t="s">
        <v>20</v>
      </c>
      <c r="C185" s="3">
        <v>46020</v>
      </c>
      <c r="D185" s="2" t="s">
        <v>92</v>
      </c>
      <c r="E185" s="2" t="s">
        <v>126</v>
      </c>
      <c r="F185" s="17">
        <v>0</v>
      </c>
      <c r="G185" s="17">
        <v>42.48</v>
      </c>
      <c r="H185" s="18">
        <f>F185-G185</f>
        <v>-42.48</v>
      </c>
      <c r="I185" s="18">
        <f>I184+H185</f>
        <v>1315.1099999999969</v>
      </c>
      <c r="J185" s="17">
        <v>0</v>
      </c>
      <c r="K185" s="19" t="s">
        <v>13</v>
      </c>
      <c r="L185" s="19" t="s">
        <v>13</v>
      </c>
    </row>
    <row r="186" spans="1:12" outlineLevel="1">
      <c r="A186" s="1">
        <v>1101</v>
      </c>
      <c r="B186" s="2" t="s">
        <v>162</v>
      </c>
      <c r="C186" s="3">
        <v>46021</v>
      </c>
      <c r="D186" s="2" t="s">
        <v>56</v>
      </c>
      <c r="E186" s="2" t="s">
        <v>120</v>
      </c>
      <c r="F186" s="17">
        <v>884.82</v>
      </c>
      <c r="G186" s="17">
        <v>0</v>
      </c>
      <c r="H186" s="18">
        <f>F186-G186</f>
        <v>884.82</v>
      </c>
      <c r="I186" s="18">
        <f>I185+H186</f>
        <v>2199.9299999999971</v>
      </c>
      <c r="J186" s="17">
        <v>0</v>
      </c>
      <c r="K186" s="19" t="s">
        <v>13</v>
      </c>
      <c r="L186" s="19" t="s">
        <v>13</v>
      </c>
    </row>
    <row r="187" spans="1:12" outlineLevel="1">
      <c r="A187" s="1">
        <v>1101</v>
      </c>
      <c r="B187" s="2" t="s">
        <v>162</v>
      </c>
      <c r="C187" s="3">
        <v>46021</v>
      </c>
      <c r="D187" s="2" t="s">
        <v>96</v>
      </c>
      <c r="E187" s="2" t="s">
        <v>127</v>
      </c>
      <c r="F187" s="17">
        <v>126</v>
      </c>
      <c r="G187" s="17">
        <v>0</v>
      </c>
      <c r="H187" s="18">
        <f>F187-G187</f>
        <v>126</v>
      </c>
      <c r="I187" s="18">
        <f>I186+H187</f>
        <v>2325.9299999999971</v>
      </c>
      <c r="J187" s="17">
        <v>0</v>
      </c>
      <c r="K187" s="19" t="s">
        <v>13</v>
      </c>
      <c r="L187" s="19" t="s">
        <v>13</v>
      </c>
    </row>
    <row r="188" spans="1:12" outlineLevel="1">
      <c r="A188" s="1">
        <v>1600</v>
      </c>
      <c r="B188" s="2" t="s">
        <v>20</v>
      </c>
      <c r="C188" s="3">
        <v>46021</v>
      </c>
      <c r="D188" s="2" t="s">
        <v>128</v>
      </c>
      <c r="E188" s="2" t="s">
        <v>127</v>
      </c>
      <c r="F188" s="17">
        <v>0</v>
      </c>
      <c r="G188" s="17">
        <v>126</v>
      </c>
      <c r="H188" s="18">
        <f>F188-G188</f>
        <v>-126</v>
      </c>
      <c r="I188" s="18">
        <f>I187+H188</f>
        <v>2199.9299999999971</v>
      </c>
      <c r="J188" s="17">
        <v>0</v>
      </c>
      <c r="K188" s="19" t="s">
        <v>13</v>
      </c>
      <c r="L188" s="19" t="s">
        <v>13</v>
      </c>
    </row>
    <row r="189" spans="1:12" outlineLevel="1">
      <c r="A189" s="1">
        <v>1600</v>
      </c>
      <c r="B189" s="2" t="s">
        <v>20</v>
      </c>
      <c r="C189" s="3">
        <v>46022</v>
      </c>
      <c r="D189" s="2" t="s">
        <v>129</v>
      </c>
      <c r="E189" s="2" t="s">
        <v>130</v>
      </c>
      <c r="F189" s="17">
        <v>0</v>
      </c>
      <c r="G189" s="17">
        <v>1742.4</v>
      </c>
      <c r="H189" s="18">
        <f>F189-G189</f>
        <v>-1742.4</v>
      </c>
      <c r="I189" s="18">
        <f>I188+H189</f>
        <v>457.52999999999702</v>
      </c>
      <c r="J189" s="17">
        <v>0</v>
      </c>
      <c r="K189" s="19" t="s">
        <v>13</v>
      </c>
      <c r="L189" s="19" t="s">
        <v>13</v>
      </c>
    </row>
    <row r="190" spans="1:12" outlineLevel="1">
      <c r="A190" s="1">
        <v>1600</v>
      </c>
      <c r="B190" s="2" t="s">
        <v>20</v>
      </c>
      <c r="C190" s="3">
        <v>46022</v>
      </c>
      <c r="D190" s="2" t="s">
        <v>105</v>
      </c>
      <c r="E190" s="2">
        <v>1122334455</v>
      </c>
      <c r="F190" s="17">
        <v>0</v>
      </c>
      <c r="G190" s="17">
        <v>0</v>
      </c>
      <c r="H190" s="18">
        <f>F190-G190</f>
        <v>0</v>
      </c>
      <c r="I190" s="18">
        <f>I189+H190</f>
        <v>457.52999999999702</v>
      </c>
      <c r="J190" s="17">
        <v>0</v>
      </c>
      <c r="K190" s="19" t="s">
        <v>13</v>
      </c>
      <c r="L190" s="19" t="s">
        <v>13</v>
      </c>
    </row>
    <row r="191" spans="1:12" outlineLevel="1">
      <c r="A191" s="1">
        <v>2011</v>
      </c>
      <c r="B191" s="2" t="s">
        <v>15</v>
      </c>
      <c r="C191" s="3">
        <v>46022</v>
      </c>
      <c r="D191" s="2" t="s">
        <v>117</v>
      </c>
      <c r="E191" s="2">
        <v>990011223344</v>
      </c>
      <c r="F191" s="17">
        <v>320.55</v>
      </c>
      <c r="G191" s="17">
        <v>0</v>
      </c>
      <c r="H191" s="18">
        <f>F191-G191</f>
        <v>320.55</v>
      </c>
      <c r="I191" s="18">
        <f>I190+H191</f>
        <v>778.07999999999697</v>
      </c>
      <c r="J191" s="17">
        <v>0</v>
      </c>
      <c r="K191" s="19" t="s">
        <v>13</v>
      </c>
      <c r="L191" s="19" t="s">
        <v>13</v>
      </c>
    </row>
    <row r="192" spans="1:12" outlineLevel="1">
      <c r="A192" s="1">
        <v>2011</v>
      </c>
      <c r="B192" s="2" t="s">
        <v>15</v>
      </c>
      <c r="C192" s="3">
        <v>46022</v>
      </c>
      <c r="D192" s="2" t="s">
        <v>117</v>
      </c>
      <c r="E192" s="2">
        <v>990011223366</v>
      </c>
      <c r="F192" s="17">
        <v>326.61</v>
      </c>
      <c r="G192" s="17">
        <v>0</v>
      </c>
      <c r="H192" s="18">
        <f>F192-G192</f>
        <v>326.61</v>
      </c>
      <c r="I192" s="18">
        <f>I191+H192</f>
        <v>1104.6899999999969</v>
      </c>
      <c r="J192" s="17">
        <v>0</v>
      </c>
      <c r="K192" s="19" t="s">
        <v>13</v>
      </c>
      <c r="L192" s="19" t="s">
        <v>13</v>
      </c>
    </row>
    <row r="193" spans="1:12" outlineLevel="1">
      <c r="A193" s="1">
        <v>2011</v>
      </c>
      <c r="B193" s="2" t="s">
        <v>15</v>
      </c>
      <c r="C193" s="3">
        <v>46022</v>
      </c>
      <c r="D193" s="2" t="s">
        <v>117</v>
      </c>
      <c r="E193" s="2">
        <v>990011223355</v>
      </c>
      <c r="F193" s="17">
        <v>440.1</v>
      </c>
      <c r="G193" s="17">
        <v>0</v>
      </c>
      <c r="H193" s="18">
        <f>F193-G193</f>
        <v>440.1</v>
      </c>
      <c r="I193" s="18">
        <f>I192+H193</f>
        <v>1544.7899999999968</v>
      </c>
      <c r="J193" s="17">
        <v>0</v>
      </c>
      <c r="K193" s="19" t="s">
        <v>13</v>
      </c>
      <c r="L193" s="19" t="s">
        <v>13</v>
      </c>
    </row>
    <row r="194" spans="1:12" outlineLevel="1">
      <c r="A194" s="1">
        <v>1600</v>
      </c>
      <c r="B194" s="2" t="s">
        <v>20</v>
      </c>
      <c r="C194" s="3">
        <v>46022</v>
      </c>
      <c r="D194" s="2" t="s">
        <v>105</v>
      </c>
      <c r="E194" s="2" t="s">
        <v>107</v>
      </c>
      <c r="F194" s="17">
        <v>0</v>
      </c>
      <c r="G194" s="17">
        <v>2716.74</v>
      </c>
      <c r="H194" s="18">
        <f>F194-G194</f>
        <v>-2716.74</v>
      </c>
      <c r="I194" s="18">
        <f>I193+H194</f>
        <v>-1171.950000000003</v>
      </c>
      <c r="J194" s="17">
        <v>0</v>
      </c>
      <c r="K194" s="19" t="s">
        <v>13</v>
      </c>
      <c r="L194" s="19" t="s">
        <v>13</v>
      </c>
    </row>
    <row r="195" spans="1:12" outlineLevel="1">
      <c r="A195" s="1">
        <v>1600</v>
      </c>
      <c r="B195" s="2" t="s">
        <v>20</v>
      </c>
      <c r="C195" s="3">
        <v>46022</v>
      </c>
      <c r="D195" s="2" t="s">
        <v>105</v>
      </c>
      <c r="E195" s="2">
        <v>20251231</v>
      </c>
      <c r="F195" s="17">
        <v>0</v>
      </c>
      <c r="G195" s="17">
        <v>774.93</v>
      </c>
      <c r="H195" s="18">
        <f>F195-G195</f>
        <v>-774.93</v>
      </c>
      <c r="I195" s="18">
        <f>I194+H195</f>
        <v>-1946.8800000000028</v>
      </c>
      <c r="J195" s="17">
        <v>0</v>
      </c>
      <c r="K195" s="19" t="s">
        <v>13</v>
      </c>
      <c r="L195" s="19" t="s">
        <v>13</v>
      </c>
    </row>
    <row r="196" spans="1:12" outlineLevel="1">
      <c r="A196" s="1">
        <v>1600</v>
      </c>
      <c r="B196" s="2" t="s">
        <v>20</v>
      </c>
      <c r="C196" s="3" t="s">
        <v>163</v>
      </c>
      <c r="D196" s="2" t="s">
        <v>164</v>
      </c>
      <c r="E196" s="2" t="s">
        <v>165</v>
      </c>
      <c r="F196" s="17">
        <v>0</v>
      </c>
      <c r="G196" s="17">
        <v>18150</v>
      </c>
      <c r="H196" s="18">
        <f>F196-G196</f>
        <v>-18150</v>
      </c>
      <c r="I196" s="18">
        <f>I195+H196</f>
        <v>-20096.880000000005</v>
      </c>
      <c r="J196" s="17"/>
      <c r="K196" s="19" t="s">
        <v>13</v>
      </c>
      <c r="L196" s="19" t="s">
        <v>13</v>
      </c>
    </row>
    <row r="197" spans="1:12" outlineLevel="1">
      <c r="A197" s="1">
        <v>1600</v>
      </c>
      <c r="B197" s="2" t="s">
        <v>20</v>
      </c>
      <c r="C197" s="3" t="s">
        <v>167</v>
      </c>
      <c r="D197" s="2" t="s">
        <v>164</v>
      </c>
      <c r="E197" s="2" t="s">
        <v>168</v>
      </c>
      <c r="F197" s="17">
        <v>0</v>
      </c>
      <c r="G197" s="17">
        <v>21780</v>
      </c>
      <c r="H197" s="18">
        <f>F197-G197</f>
        <v>-21780</v>
      </c>
      <c r="I197" s="18">
        <f>I196+H197</f>
        <v>-41876.880000000005</v>
      </c>
      <c r="J197" s="17"/>
      <c r="K197" s="19" t="s">
        <v>13</v>
      </c>
      <c r="L197" s="19" t="s">
        <v>13</v>
      </c>
    </row>
    <row r="198" spans="1:12" outlineLevel="1">
      <c r="A198" s="1">
        <v>1600</v>
      </c>
      <c r="B198" s="2" t="s">
        <v>20</v>
      </c>
      <c r="C198" s="3" t="s">
        <v>169</v>
      </c>
      <c r="D198" s="2" t="s">
        <v>164</v>
      </c>
      <c r="E198" s="2" t="s">
        <v>170</v>
      </c>
      <c r="F198" s="17">
        <v>0</v>
      </c>
      <c r="G198" s="17">
        <v>24200</v>
      </c>
      <c r="H198" s="18">
        <f>F198-G198</f>
        <v>-24200</v>
      </c>
      <c r="I198" s="18">
        <f>I197+H198</f>
        <v>-66076.88</v>
      </c>
      <c r="J198" s="17"/>
      <c r="K198" s="19" t="s">
        <v>13</v>
      </c>
      <c r="L198" s="19" t="s">
        <v>13</v>
      </c>
    </row>
    <row r="199" spans="1:12" outlineLevel="1">
      <c r="A199" s="1">
        <v>1101</v>
      </c>
      <c r="B199" s="2" t="s">
        <v>162</v>
      </c>
      <c r="C199" s="3" t="s">
        <v>163</v>
      </c>
      <c r="D199" s="2" t="s">
        <v>166</v>
      </c>
      <c r="E199" s="2" t="s">
        <v>165</v>
      </c>
      <c r="F199" s="17">
        <v>18150</v>
      </c>
      <c r="G199" s="17">
        <v>0</v>
      </c>
      <c r="H199" s="18">
        <f>F199-G199</f>
        <v>18150</v>
      </c>
      <c r="I199" s="18">
        <f>I198+H199</f>
        <v>-47926.880000000005</v>
      </c>
      <c r="J199" s="17"/>
      <c r="K199" s="19" t="s">
        <v>13</v>
      </c>
      <c r="L199" s="19" t="s">
        <v>13</v>
      </c>
    </row>
    <row r="200" spans="1:12" outlineLevel="1">
      <c r="A200" s="1">
        <v>1101</v>
      </c>
      <c r="B200" s="2" t="s">
        <v>162</v>
      </c>
      <c r="C200" s="3" t="s">
        <v>167</v>
      </c>
      <c r="D200" s="2" t="s">
        <v>166</v>
      </c>
      <c r="E200" s="2" t="s">
        <v>168</v>
      </c>
      <c r="F200" s="17">
        <v>21780</v>
      </c>
      <c r="G200" s="17">
        <v>0</v>
      </c>
      <c r="H200" s="18">
        <f>F200-G200</f>
        <v>21780</v>
      </c>
      <c r="I200" s="18">
        <f>I199+H200</f>
        <v>-26146.880000000005</v>
      </c>
      <c r="J200" s="17"/>
      <c r="K200" s="19" t="s">
        <v>13</v>
      </c>
      <c r="L200" s="19" t="s">
        <v>13</v>
      </c>
    </row>
    <row r="201" spans="1:12" outlineLevel="1">
      <c r="A201" s="1">
        <v>1101</v>
      </c>
      <c r="B201" s="2" t="s">
        <v>162</v>
      </c>
      <c r="C201" s="3" t="s">
        <v>169</v>
      </c>
      <c r="D201" s="2" t="s">
        <v>166</v>
      </c>
      <c r="E201" s="2" t="s">
        <v>170</v>
      </c>
      <c r="F201" s="17">
        <v>24200</v>
      </c>
      <c r="G201" s="17">
        <v>0</v>
      </c>
      <c r="H201" s="18">
        <f>F201-G201</f>
        <v>24200</v>
      </c>
      <c r="I201" s="18">
        <f>I200+H201</f>
        <v>-1946.8800000000047</v>
      </c>
      <c r="J201" s="17"/>
      <c r="K201" s="19" t="s">
        <v>13</v>
      </c>
      <c r="L201" s="19" t="s">
        <v>13</v>
      </c>
    </row>
    <row r="202" spans="1:12" outlineLevel="1">
      <c r="A202" s="20"/>
      <c r="B202" s="20"/>
      <c r="C202" s="20"/>
      <c r="D202" s="20"/>
      <c r="E202" s="20"/>
      <c r="F202" s="21">
        <f>SUBTOTAL(9,F119:F201)</f>
        <v>126481.76000000001</v>
      </c>
      <c r="G202" s="21">
        <f>SUBTOTAL(9,G119:G201)</f>
        <v>128428.64</v>
      </c>
      <c r="H202" s="21">
        <f>F202-G202</f>
        <v>-1946.8799999999901</v>
      </c>
      <c r="I202" s="20"/>
      <c r="J202" s="20"/>
      <c r="K202" s="20"/>
      <c r="L202" s="20"/>
    </row>
    <row r="203" spans="1:12">
      <c r="A203" s="12" t="s">
        <v>22</v>
      </c>
      <c r="B203" s="13"/>
      <c r="C203" s="14"/>
      <c r="D203" s="13"/>
      <c r="E203" s="13"/>
      <c r="F203" s="15"/>
      <c r="G203" s="15"/>
      <c r="H203" s="16"/>
      <c r="I203" s="16"/>
      <c r="J203" s="15"/>
      <c r="K203" s="13"/>
      <c r="L203" s="13"/>
    </row>
    <row r="204" spans="1:12" outlineLevel="1">
      <c r="A204" s="1">
        <v>2011</v>
      </c>
      <c r="B204" s="2" t="s">
        <v>15</v>
      </c>
      <c r="C204" s="3">
        <v>46022</v>
      </c>
      <c r="D204" s="2" t="s">
        <v>23</v>
      </c>
      <c r="F204" s="17">
        <v>0</v>
      </c>
      <c r="G204" s="17">
        <v>9495</v>
      </c>
      <c r="H204" s="18">
        <f>F204-G204</f>
        <v>-9495</v>
      </c>
      <c r="I204" s="18">
        <f>H204</f>
        <v>-9495</v>
      </c>
      <c r="J204" s="17">
        <v>0</v>
      </c>
      <c r="K204" s="19" t="s">
        <v>13</v>
      </c>
      <c r="L204" s="19" t="s">
        <v>13</v>
      </c>
    </row>
    <row r="205" spans="1:12" outlineLevel="1">
      <c r="A205" s="20"/>
      <c r="B205" s="20"/>
      <c r="C205" s="20"/>
      <c r="D205" s="20"/>
      <c r="E205" s="20"/>
      <c r="F205" s="21">
        <f>SUBTOTAL(9,F204:F204)</f>
        <v>0</v>
      </c>
      <c r="G205" s="21">
        <f>SUBTOTAL(9,G204:G204)</f>
        <v>9495</v>
      </c>
      <c r="H205" s="21">
        <f>F205-G205</f>
        <v>-9495</v>
      </c>
      <c r="I205" s="20"/>
      <c r="J205" s="20"/>
      <c r="K205" s="20"/>
      <c r="L205" s="20"/>
    </row>
    <row r="206" spans="1:12">
      <c r="A206" s="12" t="s">
        <v>24</v>
      </c>
      <c r="B206" s="13"/>
      <c r="C206" s="14"/>
      <c r="D206" s="13"/>
      <c r="E206" s="13"/>
      <c r="F206" s="15"/>
      <c r="G206" s="15"/>
      <c r="H206" s="16"/>
      <c r="I206" s="16"/>
      <c r="J206" s="15"/>
      <c r="K206" s="13"/>
      <c r="L206" s="13"/>
    </row>
    <row r="207" spans="1:12" outlineLevel="1">
      <c r="A207" s="1">
        <v>1300</v>
      </c>
      <c r="B207" s="2" t="s">
        <v>19</v>
      </c>
      <c r="C207" s="3">
        <v>45923</v>
      </c>
      <c r="D207" s="2" t="s">
        <v>59</v>
      </c>
      <c r="E207" s="2">
        <v>20258020</v>
      </c>
      <c r="F207" s="17">
        <v>0</v>
      </c>
      <c r="G207" s="17">
        <v>2409.75</v>
      </c>
      <c r="H207" s="18">
        <f>F207-G207</f>
        <v>-2409.75</v>
      </c>
      <c r="I207" s="18">
        <f>H207</f>
        <v>-2409.75</v>
      </c>
      <c r="J207" s="17">
        <v>21</v>
      </c>
      <c r="K207" s="19" t="s">
        <v>13</v>
      </c>
      <c r="L207" s="19" t="s">
        <v>13</v>
      </c>
    </row>
    <row r="208" spans="1:12" outlineLevel="1">
      <c r="A208" s="1">
        <v>1300</v>
      </c>
      <c r="B208" s="2" t="s">
        <v>19</v>
      </c>
      <c r="C208" s="3">
        <v>45939</v>
      </c>
      <c r="D208" s="2" t="s">
        <v>59</v>
      </c>
      <c r="E208" s="2">
        <v>20258021</v>
      </c>
      <c r="F208" s="17">
        <v>0</v>
      </c>
      <c r="G208" s="17">
        <v>4685.6400000000003</v>
      </c>
      <c r="H208" s="18">
        <f>F208-G208</f>
        <v>-4685.6400000000003</v>
      </c>
      <c r="I208" s="18">
        <f>I207+H208</f>
        <v>-7095.39</v>
      </c>
      <c r="J208" s="17">
        <v>21</v>
      </c>
      <c r="K208" s="19" t="s">
        <v>13</v>
      </c>
      <c r="L208" s="19" t="s">
        <v>13</v>
      </c>
    </row>
    <row r="209" spans="1:12" outlineLevel="1">
      <c r="A209" s="1">
        <v>1300</v>
      </c>
      <c r="B209" s="2" t="s">
        <v>19</v>
      </c>
      <c r="C209" s="3">
        <v>45968</v>
      </c>
      <c r="D209" s="2" t="s">
        <v>59</v>
      </c>
      <c r="E209" s="2">
        <v>20258022</v>
      </c>
      <c r="F209" s="17">
        <v>0</v>
      </c>
      <c r="G209" s="17">
        <v>6693.75</v>
      </c>
      <c r="H209" s="18">
        <f>F209-G209</f>
        <v>-6693.75</v>
      </c>
      <c r="I209" s="18">
        <f>I208+H209</f>
        <v>-13789.14</v>
      </c>
      <c r="J209" s="17">
        <v>21</v>
      </c>
      <c r="K209" s="19" t="s">
        <v>13</v>
      </c>
      <c r="L209" s="19" t="s">
        <v>13</v>
      </c>
    </row>
    <row r="210" spans="1:12" outlineLevel="1">
      <c r="A210" s="1">
        <v>1300</v>
      </c>
      <c r="B210" s="2" t="s">
        <v>19</v>
      </c>
      <c r="C210" s="3">
        <v>45994</v>
      </c>
      <c r="D210" s="2" t="s">
        <v>99</v>
      </c>
      <c r="E210" s="2">
        <v>20258023</v>
      </c>
      <c r="F210" s="17">
        <v>0</v>
      </c>
      <c r="G210" s="17">
        <v>4409.37</v>
      </c>
      <c r="H210" s="18">
        <f>F210-G210</f>
        <v>-4409.37</v>
      </c>
      <c r="I210" s="18">
        <f>I209+H210</f>
        <v>-18198.509999999998</v>
      </c>
      <c r="J210" s="17">
        <v>21</v>
      </c>
      <c r="K210" s="19" t="s">
        <v>13</v>
      </c>
      <c r="L210" s="19" t="s">
        <v>13</v>
      </c>
    </row>
    <row r="211" spans="1:12" outlineLevel="1">
      <c r="A211" s="1">
        <v>1300</v>
      </c>
      <c r="B211" s="2" t="s">
        <v>19</v>
      </c>
      <c r="C211" s="3">
        <v>45995</v>
      </c>
      <c r="D211" s="2" t="s">
        <v>100</v>
      </c>
      <c r="E211" s="2">
        <v>20258024</v>
      </c>
      <c r="F211" s="17">
        <v>0</v>
      </c>
      <c r="G211" s="17">
        <v>4790.04</v>
      </c>
      <c r="H211" s="18">
        <f>F211-G211</f>
        <v>-4790.04</v>
      </c>
      <c r="I211" s="18">
        <f>I210+H211</f>
        <v>-22988.55</v>
      </c>
      <c r="J211" s="17">
        <v>21</v>
      </c>
      <c r="K211" s="19" t="s">
        <v>13</v>
      </c>
      <c r="L211" s="19" t="s">
        <v>13</v>
      </c>
    </row>
    <row r="212" spans="1:12" outlineLevel="1">
      <c r="A212" s="1">
        <v>1300</v>
      </c>
      <c r="B212" s="2" t="s">
        <v>19</v>
      </c>
      <c r="C212" s="3">
        <v>46001</v>
      </c>
      <c r="D212" s="2" t="s">
        <v>101</v>
      </c>
      <c r="E212" s="2">
        <v>20258025</v>
      </c>
      <c r="F212" s="17">
        <v>0</v>
      </c>
      <c r="G212" s="17">
        <v>1256.8499999999999</v>
      </c>
      <c r="H212" s="18">
        <f>F212-G212</f>
        <v>-1256.8499999999999</v>
      </c>
      <c r="I212" s="18">
        <f>I211+H212</f>
        <v>-24245.399999999998</v>
      </c>
      <c r="J212" s="17">
        <v>21</v>
      </c>
      <c r="K212" s="19" t="s">
        <v>13</v>
      </c>
      <c r="L212" s="19" t="s">
        <v>13</v>
      </c>
    </row>
    <row r="213" spans="1:12" outlineLevel="1">
      <c r="A213" s="1">
        <v>1300</v>
      </c>
      <c r="B213" s="2" t="s">
        <v>19</v>
      </c>
      <c r="C213" s="3">
        <v>46008</v>
      </c>
      <c r="D213" s="2" t="s">
        <v>102</v>
      </c>
      <c r="E213" s="2">
        <v>20258026</v>
      </c>
      <c r="F213" s="17">
        <v>0</v>
      </c>
      <c r="G213" s="17">
        <v>2205</v>
      </c>
      <c r="H213" s="18">
        <f>F213-G213</f>
        <v>-2205</v>
      </c>
      <c r="I213" s="18">
        <f>I212+H213</f>
        <v>-26450.399999999998</v>
      </c>
      <c r="J213" s="17">
        <v>21</v>
      </c>
      <c r="K213" s="19" t="s">
        <v>13</v>
      </c>
      <c r="L213" s="19" t="s">
        <v>13</v>
      </c>
    </row>
    <row r="214" spans="1:12" outlineLevel="1">
      <c r="A214" s="1">
        <v>1300</v>
      </c>
      <c r="B214" s="2" t="s">
        <v>19</v>
      </c>
      <c r="C214" s="3">
        <v>46010</v>
      </c>
      <c r="D214" s="2" t="s">
        <v>103</v>
      </c>
      <c r="E214" s="2">
        <v>20258027</v>
      </c>
      <c r="F214" s="17">
        <v>0</v>
      </c>
      <c r="G214" s="17">
        <v>1574.37</v>
      </c>
      <c r="H214" s="18">
        <f>F214-G214</f>
        <v>-1574.37</v>
      </c>
      <c r="I214" s="18">
        <f>I213+H214</f>
        <v>-28024.769999999997</v>
      </c>
      <c r="J214" s="17">
        <v>21</v>
      </c>
      <c r="K214" s="19" t="s">
        <v>13</v>
      </c>
      <c r="L214" s="19" t="s">
        <v>13</v>
      </c>
    </row>
    <row r="215" spans="1:12" outlineLevel="1">
      <c r="A215" s="1">
        <v>1300</v>
      </c>
      <c r="B215" s="2" t="s">
        <v>19</v>
      </c>
      <c r="C215" s="3">
        <v>46014</v>
      </c>
      <c r="D215" s="2" t="s">
        <v>104</v>
      </c>
      <c r="E215" s="2">
        <v>20258028</v>
      </c>
      <c r="F215" s="17">
        <v>0</v>
      </c>
      <c r="G215" s="17">
        <v>850.5</v>
      </c>
      <c r="H215" s="18">
        <f>F215-G215</f>
        <v>-850.5</v>
      </c>
      <c r="I215" s="18">
        <f>I214+H215</f>
        <v>-28875.269999999997</v>
      </c>
      <c r="J215" s="17">
        <v>21</v>
      </c>
      <c r="K215" s="19" t="s">
        <v>13</v>
      </c>
      <c r="L215" s="19" t="s">
        <v>13</v>
      </c>
    </row>
    <row r="216" spans="1:12" outlineLevel="1">
      <c r="A216" s="1">
        <v>2011</v>
      </c>
      <c r="B216" s="2" t="s">
        <v>15</v>
      </c>
      <c r="C216" s="3">
        <v>46022</v>
      </c>
      <c r="D216" s="2" t="s">
        <v>25</v>
      </c>
      <c r="F216" s="17">
        <v>28875.27</v>
      </c>
      <c r="G216" s="17">
        <v>0</v>
      </c>
      <c r="H216" s="18">
        <f>F216-G216</f>
        <v>28875.27</v>
      </c>
      <c r="I216" s="18">
        <f>I215+H216</f>
        <v>0</v>
      </c>
      <c r="J216" s="17">
        <v>0</v>
      </c>
      <c r="K216" s="19" t="s">
        <v>18</v>
      </c>
      <c r="L216" s="19" t="s">
        <v>13</v>
      </c>
    </row>
    <row r="217" spans="1:12" outlineLevel="1">
      <c r="A217" s="20"/>
      <c r="B217" s="20"/>
      <c r="C217" s="20"/>
      <c r="D217" s="20"/>
      <c r="E217" s="20"/>
      <c r="F217" s="21">
        <f>SUBTOTAL(9,F207:F216)</f>
        <v>28875.27</v>
      </c>
      <c r="G217" s="21">
        <f>SUBTOTAL(9,G207:G216)</f>
        <v>28875.269999999997</v>
      </c>
      <c r="H217" s="21">
        <f>F217-G217</f>
        <v>0</v>
      </c>
      <c r="I217" s="20"/>
      <c r="J217" s="20"/>
      <c r="K217" s="20"/>
      <c r="L217" s="20"/>
    </row>
    <row r="218" spans="1:12">
      <c r="A218" s="12" t="s">
        <v>26</v>
      </c>
      <c r="B218" s="13"/>
      <c r="C218" s="14"/>
      <c r="D218" s="13"/>
      <c r="E218" s="13"/>
      <c r="F218" s="15"/>
      <c r="G218" s="15"/>
      <c r="H218" s="16"/>
      <c r="I218" s="16"/>
      <c r="J218" s="15"/>
      <c r="K218" s="13"/>
      <c r="L218" s="13"/>
    </row>
    <row r="219" spans="1:12" outlineLevel="1">
      <c r="A219" s="1">
        <v>1600</v>
      </c>
      <c r="B219" s="2" t="s">
        <v>20</v>
      </c>
      <c r="C219" s="3">
        <v>45995</v>
      </c>
      <c r="D219" s="2" t="s">
        <v>77</v>
      </c>
      <c r="E219" s="2" t="s">
        <v>116</v>
      </c>
      <c r="F219" s="17">
        <v>44.46</v>
      </c>
      <c r="G219" s="17">
        <v>0</v>
      </c>
      <c r="H219" s="18">
        <f>F219-G219</f>
        <v>44.46</v>
      </c>
      <c r="I219" s="18">
        <f>H219</f>
        <v>44.46</v>
      </c>
      <c r="J219" s="17">
        <v>9</v>
      </c>
      <c r="K219" s="19" t="s">
        <v>13</v>
      </c>
      <c r="L219" s="19" t="s">
        <v>13</v>
      </c>
    </row>
    <row r="220" spans="1:12" outlineLevel="1">
      <c r="A220" s="1">
        <v>1600</v>
      </c>
      <c r="B220" s="2" t="s">
        <v>20</v>
      </c>
      <c r="C220" s="3">
        <v>46018</v>
      </c>
      <c r="D220" s="2" t="s">
        <v>93</v>
      </c>
      <c r="E220" s="2">
        <v>20251227</v>
      </c>
      <c r="F220" s="17">
        <v>11.22</v>
      </c>
      <c r="G220" s="17">
        <v>0</v>
      </c>
      <c r="H220" s="18">
        <f>F220-G220</f>
        <v>11.22</v>
      </c>
      <c r="I220" s="18">
        <f>I219+H220</f>
        <v>55.68</v>
      </c>
      <c r="J220" s="17">
        <v>9</v>
      </c>
      <c r="K220" s="19" t="s">
        <v>13</v>
      </c>
      <c r="L220" s="19" t="s">
        <v>13</v>
      </c>
    </row>
    <row r="221" spans="1:12" outlineLevel="1">
      <c r="A221" s="1">
        <v>2011</v>
      </c>
      <c r="B221" s="2" t="s">
        <v>15</v>
      </c>
      <c r="C221" s="3">
        <v>46022</v>
      </c>
      <c r="D221" s="2" t="s">
        <v>25</v>
      </c>
      <c r="F221" s="17">
        <v>0</v>
      </c>
      <c r="G221" s="17">
        <v>55.68</v>
      </c>
      <c r="H221" s="18">
        <f>F221-G221</f>
        <v>-55.68</v>
      </c>
      <c r="I221" s="18">
        <f>I220+H221</f>
        <v>0</v>
      </c>
      <c r="J221" s="17">
        <v>0</v>
      </c>
      <c r="K221" s="19" t="s">
        <v>18</v>
      </c>
      <c r="L221" s="19" t="s">
        <v>13</v>
      </c>
    </row>
    <row r="222" spans="1:12" outlineLevel="1">
      <c r="A222" s="20"/>
      <c r="B222" s="20"/>
      <c r="C222" s="20"/>
      <c r="D222" s="20"/>
      <c r="E222" s="20"/>
      <c r="F222" s="21">
        <f>SUBTOTAL(9,F219:F221)</f>
        <v>55.68</v>
      </c>
      <c r="G222" s="21">
        <f>SUBTOTAL(9,G219:G221)</f>
        <v>55.68</v>
      </c>
      <c r="H222" s="21">
        <f>F222-G222</f>
        <v>0</v>
      </c>
      <c r="I222" s="20"/>
      <c r="J222" s="20"/>
      <c r="K222" s="20"/>
      <c r="L222" s="20"/>
    </row>
    <row r="223" spans="1:12">
      <c r="A223" s="12" t="s">
        <v>27</v>
      </c>
      <c r="B223" s="13"/>
      <c r="C223" s="14"/>
      <c r="D223" s="13"/>
      <c r="E223" s="13"/>
      <c r="F223" s="15"/>
      <c r="G223" s="15"/>
      <c r="H223" s="16"/>
      <c r="I223" s="16"/>
      <c r="J223" s="15"/>
      <c r="K223" s="13"/>
      <c r="L223" s="13"/>
    </row>
    <row r="224" spans="1:12" outlineLevel="1">
      <c r="A224" s="1">
        <v>1600</v>
      </c>
      <c r="B224" s="2" t="s">
        <v>20</v>
      </c>
      <c r="C224" s="3">
        <v>45915</v>
      </c>
      <c r="D224" s="2" t="s">
        <v>56</v>
      </c>
      <c r="E224" s="2" t="s">
        <v>106</v>
      </c>
      <c r="F224" s="17">
        <v>153.57</v>
      </c>
      <c r="G224" s="17">
        <v>0</v>
      </c>
      <c r="H224" s="18">
        <f>F224-G224</f>
        <v>153.57</v>
      </c>
      <c r="I224" s="18">
        <f>H224</f>
        <v>153.57</v>
      </c>
      <c r="J224" s="17">
        <v>21</v>
      </c>
      <c r="K224" s="19" t="s">
        <v>13</v>
      </c>
      <c r="L224" s="19" t="s">
        <v>13</v>
      </c>
    </row>
    <row r="225" spans="1:12" outlineLevel="1">
      <c r="A225" s="1">
        <v>1600</v>
      </c>
      <c r="B225" s="2" t="s">
        <v>20</v>
      </c>
      <c r="C225" s="3">
        <v>45945</v>
      </c>
      <c r="D225" s="2" t="s">
        <v>56</v>
      </c>
      <c r="E225" s="2" t="s">
        <v>109</v>
      </c>
      <c r="F225" s="17">
        <v>153.57</v>
      </c>
      <c r="G225" s="17">
        <v>0</v>
      </c>
      <c r="H225" s="18">
        <f>F225-G225</f>
        <v>153.57</v>
      </c>
      <c r="I225" s="18">
        <f>I224+H225</f>
        <v>307.14</v>
      </c>
      <c r="J225" s="17">
        <v>21</v>
      </c>
      <c r="K225" s="19" t="s">
        <v>13</v>
      </c>
      <c r="L225" s="19" t="s">
        <v>13</v>
      </c>
    </row>
    <row r="226" spans="1:12" outlineLevel="1">
      <c r="A226" s="1">
        <v>1600</v>
      </c>
      <c r="B226" s="2" t="s">
        <v>20</v>
      </c>
      <c r="C226" s="3">
        <v>45976</v>
      </c>
      <c r="D226" s="2" t="s">
        <v>56</v>
      </c>
      <c r="E226" s="2" t="s">
        <v>111</v>
      </c>
      <c r="F226" s="17">
        <v>153.57</v>
      </c>
      <c r="G226" s="17">
        <v>0</v>
      </c>
      <c r="H226" s="18">
        <f>F226-G226</f>
        <v>153.57</v>
      </c>
      <c r="I226" s="18">
        <f>I225+H226</f>
        <v>460.71</v>
      </c>
      <c r="J226" s="17">
        <v>21</v>
      </c>
      <c r="K226" s="19" t="s">
        <v>13</v>
      </c>
      <c r="L226" s="19" t="s">
        <v>13</v>
      </c>
    </row>
    <row r="227" spans="1:12" outlineLevel="1">
      <c r="A227" s="1">
        <v>1600</v>
      </c>
      <c r="B227" s="2" t="s">
        <v>20</v>
      </c>
      <c r="C227" s="3">
        <v>45990</v>
      </c>
      <c r="D227" s="2" t="s">
        <v>92</v>
      </c>
      <c r="E227" s="2" t="s">
        <v>113</v>
      </c>
      <c r="F227" s="17">
        <v>7.38</v>
      </c>
      <c r="G227" s="17">
        <v>0</v>
      </c>
      <c r="H227" s="18">
        <f>F227-G227</f>
        <v>7.38</v>
      </c>
      <c r="I227" s="18">
        <f>I226+H227</f>
        <v>468.09</v>
      </c>
      <c r="J227" s="17">
        <v>21</v>
      </c>
      <c r="K227" s="19" t="s">
        <v>13</v>
      </c>
      <c r="L227" s="19" t="s">
        <v>13</v>
      </c>
    </row>
    <row r="228" spans="1:12" outlineLevel="1">
      <c r="A228" s="1">
        <v>2011</v>
      </c>
      <c r="B228" s="2" t="s">
        <v>15</v>
      </c>
      <c r="C228" s="3">
        <v>45992</v>
      </c>
      <c r="D228" s="2" t="s">
        <v>97</v>
      </c>
      <c r="F228" s="17">
        <v>226.8</v>
      </c>
      <c r="G228" s="17">
        <v>0</v>
      </c>
      <c r="H228" s="18">
        <f>F228-G228</f>
        <v>226.8</v>
      </c>
      <c r="I228" s="18">
        <f>I227+H228</f>
        <v>694.89</v>
      </c>
      <c r="J228" s="17">
        <v>0</v>
      </c>
      <c r="K228" s="19" t="s">
        <v>18</v>
      </c>
      <c r="L228" s="19" t="s">
        <v>13</v>
      </c>
    </row>
    <row r="229" spans="1:12" outlineLevel="1">
      <c r="A229" s="1">
        <v>1600</v>
      </c>
      <c r="B229" s="2" t="s">
        <v>20</v>
      </c>
      <c r="C229" s="3">
        <v>46000</v>
      </c>
      <c r="D229" s="2" t="s">
        <v>118</v>
      </c>
      <c r="E229" s="2">
        <v>2025113</v>
      </c>
      <c r="F229" s="17">
        <v>3780</v>
      </c>
      <c r="G229" s="17">
        <v>0</v>
      </c>
      <c r="H229" s="18">
        <f>F229-G229</f>
        <v>3780</v>
      </c>
      <c r="I229" s="18">
        <f>I228+H229</f>
        <v>4474.8900000000003</v>
      </c>
      <c r="J229" s="17">
        <v>21</v>
      </c>
      <c r="K229" s="19" t="s">
        <v>13</v>
      </c>
      <c r="L229" s="19" t="s">
        <v>13</v>
      </c>
    </row>
    <row r="230" spans="1:12" outlineLevel="1">
      <c r="A230" s="1">
        <v>1600</v>
      </c>
      <c r="B230" s="2" t="s">
        <v>20</v>
      </c>
      <c r="C230" s="3">
        <v>46000</v>
      </c>
      <c r="D230" s="2" t="s">
        <v>118</v>
      </c>
      <c r="E230" s="2">
        <v>2025114</v>
      </c>
      <c r="F230" s="17">
        <v>3780</v>
      </c>
      <c r="G230" s="17">
        <v>0</v>
      </c>
      <c r="H230" s="18">
        <f>F230-G230</f>
        <v>3780</v>
      </c>
      <c r="I230" s="18">
        <f>I229+H230</f>
        <v>8254.89</v>
      </c>
      <c r="J230" s="17">
        <v>21</v>
      </c>
      <c r="K230" s="19" t="s">
        <v>13</v>
      </c>
      <c r="L230" s="19" t="s">
        <v>13</v>
      </c>
    </row>
    <row r="231" spans="1:12" outlineLevel="1">
      <c r="A231" s="1">
        <v>1600</v>
      </c>
      <c r="B231" s="2" t="s">
        <v>20</v>
      </c>
      <c r="C231" s="3">
        <v>46001</v>
      </c>
      <c r="D231" s="2" t="s">
        <v>79</v>
      </c>
      <c r="E231" s="2">
        <v>30282742</v>
      </c>
      <c r="F231" s="17">
        <v>47.25</v>
      </c>
      <c r="G231" s="17">
        <v>0</v>
      </c>
      <c r="H231" s="18">
        <f>F231-G231</f>
        <v>47.25</v>
      </c>
      <c r="I231" s="18">
        <f>I230+H231</f>
        <v>8302.14</v>
      </c>
      <c r="J231" s="17">
        <v>21</v>
      </c>
      <c r="K231" s="19" t="s">
        <v>13</v>
      </c>
      <c r="L231" s="19" t="s">
        <v>13</v>
      </c>
    </row>
    <row r="232" spans="1:12" outlineLevel="1">
      <c r="A232" s="1">
        <v>1600</v>
      </c>
      <c r="B232" s="2" t="s">
        <v>20</v>
      </c>
      <c r="C232" s="3">
        <v>46006</v>
      </c>
      <c r="D232" s="2" t="s">
        <v>56</v>
      </c>
      <c r="E232" s="2" t="s">
        <v>120</v>
      </c>
      <c r="F232" s="17">
        <v>153.57</v>
      </c>
      <c r="G232" s="17">
        <v>0</v>
      </c>
      <c r="H232" s="18">
        <f>F232-G232</f>
        <v>153.57</v>
      </c>
      <c r="I232" s="18">
        <f>I231+H232</f>
        <v>8455.7099999999991</v>
      </c>
      <c r="J232" s="17">
        <v>21</v>
      </c>
      <c r="K232" s="19" t="s">
        <v>13</v>
      </c>
      <c r="L232" s="19" t="s">
        <v>13</v>
      </c>
    </row>
    <row r="233" spans="1:12" outlineLevel="1">
      <c r="A233" s="1">
        <v>1600</v>
      </c>
      <c r="B233" s="2" t="s">
        <v>20</v>
      </c>
      <c r="C233" s="3">
        <v>46015</v>
      </c>
      <c r="D233" s="2" t="s">
        <v>92</v>
      </c>
      <c r="E233" s="2" t="s">
        <v>123</v>
      </c>
      <c r="F233" s="17">
        <v>203.37</v>
      </c>
      <c r="G233" s="17">
        <v>0</v>
      </c>
      <c r="H233" s="18">
        <f>F233-G233</f>
        <v>203.37</v>
      </c>
      <c r="I233" s="18">
        <f>I232+H233</f>
        <v>8659.08</v>
      </c>
      <c r="J233" s="17">
        <v>21</v>
      </c>
      <c r="K233" s="19" t="s">
        <v>13</v>
      </c>
      <c r="L233" s="19" t="s">
        <v>13</v>
      </c>
    </row>
    <row r="234" spans="1:12" outlineLevel="1">
      <c r="A234" s="1">
        <v>1600</v>
      </c>
      <c r="B234" s="2" t="s">
        <v>20</v>
      </c>
      <c r="C234" s="3">
        <v>46015</v>
      </c>
      <c r="D234" s="2" t="s">
        <v>124</v>
      </c>
      <c r="E234" s="2" t="s">
        <v>125</v>
      </c>
      <c r="F234" s="17">
        <v>321.3</v>
      </c>
      <c r="G234" s="17">
        <v>0</v>
      </c>
      <c r="H234" s="18">
        <f>F234-G234</f>
        <v>321.3</v>
      </c>
      <c r="I234" s="18">
        <f>I233+H234</f>
        <v>8980.3799999999992</v>
      </c>
      <c r="J234" s="17">
        <v>21</v>
      </c>
      <c r="K234" s="19" t="s">
        <v>13</v>
      </c>
      <c r="L234" s="19" t="s">
        <v>13</v>
      </c>
    </row>
    <row r="235" spans="1:12" outlineLevel="1">
      <c r="A235" s="1">
        <v>1600</v>
      </c>
      <c r="B235" s="2" t="s">
        <v>20</v>
      </c>
      <c r="C235" s="3">
        <v>46020</v>
      </c>
      <c r="D235" s="2" t="s">
        <v>92</v>
      </c>
      <c r="E235" s="2" t="s">
        <v>126</v>
      </c>
      <c r="F235" s="17">
        <v>7.38</v>
      </c>
      <c r="G235" s="17">
        <v>0</v>
      </c>
      <c r="H235" s="18">
        <f>F235-G235</f>
        <v>7.38</v>
      </c>
      <c r="I235" s="18">
        <f>I234+H235</f>
        <v>8987.7599999999984</v>
      </c>
      <c r="J235" s="17">
        <v>21</v>
      </c>
      <c r="K235" s="19" t="s">
        <v>13</v>
      </c>
      <c r="L235" s="19" t="s">
        <v>13</v>
      </c>
    </row>
    <row r="236" spans="1:12" outlineLevel="1">
      <c r="A236" s="1">
        <v>1600</v>
      </c>
      <c r="B236" s="2" t="s">
        <v>20</v>
      </c>
      <c r="C236" s="3">
        <v>46022</v>
      </c>
      <c r="D236" s="2" t="s">
        <v>129</v>
      </c>
      <c r="E236" s="2" t="s">
        <v>130</v>
      </c>
      <c r="F236" s="17">
        <v>302.39999999999998</v>
      </c>
      <c r="G236" s="17">
        <v>0</v>
      </c>
      <c r="H236" s="18">
        <f>F236-G236</f>
        <v>302.39999999999998</v>
      </c>
      <c r="I236" s="18">
        <f>I235+H236</f>
        <v>9290.159999999998</v>
      </c>
      <c r="J236" s="17">
        <v>21</v>
      </c>
      <c r="K236" s="19" t="s">
        <v>13</v>
      </c>
      <c r="L236" s="19" t="s">
        <v>13</v>
      </c>
    </row>
    <row r="237" spans="1:12" outlineLevel="1">
      <c r="A237" s="1">
        <v>2011</v>
      </c>
      <c r="B237" s="2" t="s">
        <v>15</v>
      </c>
      <c r="C237" s="3">
        <v>46022</v>
      </c>
      <c r="D237" s="2" t="s">
        <v>25</v>
      </c>
      <c r="F237" s="17">
        <v>0</v>
      </c>
      <c r="G237" s="17">
        <v>9290.16</v>
      </c>
      <c r="H237" s="18">
        <f>F237-G237</f>
        <v>-9290.16</v>
      </c>
      <c r="I237" s="18">
        <f>I236+H237</f>
        <v>0</v>
      </c>
      <c r="J237" s="17">
        <v>0</v>
      </c>
      <c r="K237" s="19" t="s">
        <v>18</v>
      </c>
      <c r="L237" s="19" t="s">
        <v>13</v>
      </c>
    </row>
    <row r="238" spans="1:12" outlineLevel="1">
      <c r="A238" s="20"/>
      <c r="B238" s="20"/>
      <c r="C238" s="20"/>
      <c r="D238" s="20"/>
      <c r="E238" s="20"/>
      <c r="F238" s="21">
        <f>SUBTOTAL(9,F224:F237)</f>
        <v>9290.159999999998</v>
      </c>
      <c r="G238" s="21">
        <f>SUBTOTAL(9,G224:G237)</f>
        <v>9290.16</v>
      </c>
      <c r="H238" s="21">
        <f>F238-G238</f>
        <v>0</v>
      </c>
      <c r="I238" s="20"/>
      <c r="J238" s="20"/>
      <c r="K238" s="20"/>
      <c r="L238" s="20"/>
    </row>
    <row r="239" spans="1:12">
      <c r="A239" s="12" t="s">
        <v>28</v>
      </c>
      <c r="B239" s="13"/>
      <c r="C239" s="14"/>
      <c r="D239" s="13"/>
      <c r="E239" s="13"/>
      <c r="F239" s="15"/>
      <c r="G239" s="15"/>
      <c r="H239" s="16"/>
      <c r="I239" s="16"/>
      <c r="J239" s="15"/>
      <c r="K239" s="13"/>
      <c r="L239" s="13"/>
    </row>
    <row r="240" spans="1:12" outlineLevel="1">
      <c r="A240" s="1">
        <v>1101</v>
      </c>
      <c r="B240" s="2" t="s">
        <v>162</v>
      </c>
      <c r="C240" s="3">
        <v>45957</v>
      </c>
      <c r="D240" s="2" t="s">
        <v>62</v>
      </c>
      <c r="F240" s="17">
        <v>2253</v>
      </c>
      <c r="G240" s="17">
        <v>0</v>
      </c>
      <c r="H240" s="18">
        <f>F240-G240</f>
        <v>2253</v>
      </c>
      <c r="I240" s="18">
        <f>H240</f>
        <v>2253</v>
      </c>
      <c r="J240" s="17">
        <v>0</v>
      </c>
      <c r="K240" s="19" t="s">
        <v>13</v>
      </c>
      <c r="L240" s="19" t="s">
        <v>13</v>
      </c>
    </row>
    <row r="241" spans="1:12" outlineLevel="1">
      <c r="A241" s="1">
        <v>2011</v>
      </c>
      <c r="B241" s="2" t="s">
        <v>15</v>
      </c>
      <c r="C241" s="3">
        <v>46022</v>
      </c>
      <c r="D241" s="2" t="s">
        <v>25</v>
      </c>
      <c r="F241" s="17">
        <v>0</v>
      </c>
      <c r="G241" s="17">
        <v>2253</v>
      </c>
      <c r="H241" s="18">
        <f>F241-G241</f>
        <v>-2253</v>
      </c>
      <c r="I241" s="18">
        <f>I240+H241</f>
        <v>0</v>
      </c>
      <c r="J241" s="17">
        <v>0</v>
      </c>
      <c r="K241" s="19" t="s">
        <v>18</v>
      </c>
      <c r="L241" s="19" t="s">
        <v>13</v>
      </c>
    </row>
    <row r="242" spans="1:12" outlineLevel="1">
      <c r="A242" s="20"/>
      <c r="B242" s="20"/>
      <c r="C242" s="20"/>
      <c r="D242" s="20"/>
      <c r="E242" s="20"/>
      <c r="F242" s="21">
        <f>SUBTOTAL(9,F240:F241)</f>
        <v>2253</v>
      </c>
      <c r="G242" s="21">
        <f>SUBTOTAL(9,G240:G241)</f>
        <v>2253</v>
      </c>
      <c r="H242" s="21">
        <f>F242-G242</f>
        <v>0</v>
      </c>
      <c r="I242" s="20"/>
      <c r="J242" s="20"/>
      <c r="K242" s="20"/>
      <c r="L242" s="20"/>
    </row>
    <row r="243" spans="1:12">
      <c r="A243" s="12" t="s">
        <v>29</v>
      </c>
      <c r="B243" s="13"/>
      <c r="C243" s="14"/>
      <c r="D243" s="13"/>
      <c r="E243" s="13"/>
      <c r="F243" s="15"/>
      <c r="G243" s="15"/>
      <c r="H243" s="16"/>
      <c r="I243" s="16"/>
      <c r="J243" s="15"/>
      <c r="K243" s="13"/>
      <c r="L243" s="13"/>
    </row>
    <row r="244" spans="1:12" outlineLevel="1">
      <c r="A244" s="1">
        <v>2011</v>
      </c>
      <c r="B244" s="2" t="s">
        <v>15</v>
      </c>
      <c r="C244" s="3">
        <v>46022</v>
      </c>
      <c r="D244" s="2" t="s">
        <v>25</v>
      </c>
      <c r="F244" s="17">
        <v>0</v>
      </c>
      <c r="G244" s="17">
        <v>17277</v>
      </c>
      <c r="H244" s="18">
        <f>F244-G244</f>
        <v>-17277</v>
      </c>
      <c r="I244" s="18">
        <f>H244</f>
        <v>-17277</v>
      </c>
      <c r="J244" s="17">
        <v>0</v>
      </c>
      <c r="K244" s="19" t="s">
        <v>18</v>
      </c>
      <c r="L244" s="19" t="s">
        <v>13</v>
      </c>
    </row>
    <row r="245" spans="1:12" outlineLevel="1">
      <c r="A245" s="20"/>
      <c r="B245" s="20"/>
      <c r="C245" s="20"/>
      <c r="D245" s="20"/>
      <c r="E245" s="20"/>
      <c r="F245" s="21">
        <f>SUBTOTAL(9,F244:F244)</f>
        <v>0</v>
      </c>
      <c r="G245" s="21">
        <f>SUBTOTAL(9,G244:G244)</f>
        <v>17277</v>
      </c>
      <c r="H245" s="21">
        <f>F245-G245</f>
        <v>-17277</v>
      </c>
      <c r="I245" s="20"/>
      <c r="J245" s="20"/>
      <c r="K245" s="20"/>
      <c r="L245" s="20"/>
    </row>
    <row r="246" spans="1:12">
      <c r="A246" s="12" t="s">
        <v>30</v>
      </c>
      <c r="B246" s="13"/>
      <c r="C246" s="14"/>
      <c r="D246" s="13"/>
      <c r="E246" s="13"/>
      <c r="F246" s="15"/>
      <c r="G246" s="15"/>
      <c r="H246" s="16"/>
      <c r="I246" s="16"/>
      <c r="J246" s="15"/>
      <c r="K246" s="13"/>
      <c r="L246" s="13"/>
    </row>
    <row r="247" spans="1:12" outlineLevel="1">
      <c r="A247" s="1">
        <v>2011</v>
      </c>
      <c r="B247" s="2" t="s">
        <v>15</v>
      </c>
      <c r="C247" s="3">
        <v>46022</v>
      </c>
      <c r="D247" s="2" t="s">
        <v>131</v>
      </c>
      <c r="F247" s="17">
        <v>0</v>
      </c>
      <c r="G247" s="17">
        <v>22809.75</v>
      </c>
      <c r="H247" s="18">
        <f>F247-G247</f>
        <v>-22809.75</v>
      </c>
      <c r="I247" s="18">
        <f>H247</f>
        <v>-22809.75</v>
      </c>
      <c r="J247" s="17">
        <v>0</v>
      </c>
      <c r="K247" s="19" t="s">
        <v>13</v>
      </c>
      <c r="L247" s="19" t="s">
        <v>13</v>
      </c>
    </row>
    <row r="248" spans="1:12" outlineLevel="1">
      <c r="A248" s="1">
        <v>2011</v>
      </c>
      <c r="B248" s="2" t="s">
        <v>15</v>
      </c>
      <c r="C248" s="3">
        <v>46022</v>
      </c>
      <c r="D248" s="2" t="s">
        <v>132</v>
      </c>
      <c r="F248" s="17">
        <v>0</v>
      </c>
      <c r="G248" s="17">
        <v>7497</v>
      </c>
      <c r="H248" s="18">
        <f>F248-G248</f>
        <v>-7497</v>
      </c>
      <c r="I248" s="18">
        <f>I247+H248</f>
        <v>-30306.75</v>
      </c>
      <c r="J248" s="17">
        <v>0</v>
      </c>
      <c r="K248" s="19" t="s">
        <v>13</v>
      </c>
      <c r="L248" s="19" t="s">
        <v>13</v>
      </c>
    </row>
    <row r="249" spans="1:12" outlineLevel="1">
      <c r="A249" s="20"/>
      <c r="B249" s="20"/>
      <c r="C249" s="20"/>
      <c r="D249" s="20"/>
      <c r="E249" s="20"/>
      <c r="F249" s="21">
        <f>SUBTOTAL(9,F247:F248)</f>
        <v>0</v>
      </c>
      <c r="G249" s="21">
        <f>SUBTOTAL(9,G247:G248)</f>
        <v>30306.75</v>
      </c>
      <c r="H249" s="21">
        <f>F249-G249</f>
        <v>-30306.75</v>
      </c>
      <c r="I249" s="20"/>
      <c r="J249" s="20"/>
      <c r="K249" s="20"/>
      <c r="L249" s="20"/>
    </row>
    <row r="250" spans="1:12">
      <c r="A250" s="12" t="s">
        <v>31</v>
      </c>
      <c r="B250" s="13"/>
      <c r="C250" s="14"/>
      <c r="D250" s="13"/>
      <c r="E250" s="13"/>
      <c r="F250" s="15"/>
      <c r="G250" s="15"/>
      <c r="H250" s="16"/>
      <c r="I250" s="16"/>
      <c r="J250" s="15"/>
      <c r="K250" s="13"/>
      <c r="L250" s="13"/>
    </row>
    <row r="251" spans="1:12" outlineLevel="1">
      <c r="A251" s="1">
        <v>2011</v>
      </c>
      <c r="B251" s="2" t="s">
        <v>15</v>
      </c>
      <c r="C251" s="3">
        <v>46022</v>
      </c>
      <c r="D251" s="2" t="s">
        <v>133</v>
      </c>
      <c r="F251" s="17">
        <v>0</v>
      </c>
      <c r="G251" s="17">
        <v>75.239999999999995</v>
      </c>
      <c r="H251" s="18">
        <f>F251-G251</f>
        <v>-75.239999999999995</v>
      </c>
      <c r="I251" s="18">
        <f>H251</f>
        <v>-75.239999999999995</v>
      </c>
      <c r="J251" s="17">
        <v>0</v>
      </c>
      <c r="K251" s="19" t="s">
        <v>13</v>
      </c>
      <c r="L251" s="19" t="s">
        <v>13</v>
      </c>
    </row>
    <row r="252" spans="1:12" outlineLevel="1">
      <c r="A252" s="20"/>
      <c r="B252" s="20"/>
      <c r="C252" s="20"/>
      <c r="D252" s="20"/>
      <c r="E252" s="20"/>
      <c r="F252" s="21">
        <f>SUBTOTAL(9,F251:F251)</f>
        <v>0</v>
      </c>
      <c r="G252" s="21">
        <f>SUBTOTAL(9,G251:G251)</f>
        <v>75.239999999999995</v>
      </c>
      <c r="H252" s="21">
        <f>F252-G252</f>
        <v>-75.239999999999995</v>
      </c>
      <c r="I252" s="20"/>
      <c r="J252" s="20"/>
      <c r="K252" s="20"/>
      <c r="L252" s="20"/>
    </row>
    <row r="253" spans="1:12">
      <c r="A253" s="12" t="s">
        <v>188</v>
      </c>
      <c r="B253" s="13"/>
      <c r="C253" s="14"/>
      <c r="D253" s="13"/>
      <c r="E253" s="13"/>
      <c r="F253" s="15"/>
      <c r="G253" s="15"/>
      <c r="H253" s="16"/>
      <c r="I253" s="16"/>
      <c r="J253" s="15"/>
      <c r="K253" s="13"/>
      <c r="L253" s="13"/>
    </row>
    <row r="254" spans="1:12" outlineLevel="1">
      <c r="A254" s="1">
        <v>1101</v>
      </c>
      <c r="B254" s="2" t="s">
        <v>162</v>
      </c>
      <c r="C254" s="3">
        <v>45920</v>
      </c>
      <c r="D254" s="2" t="s">
        <v>55</v>
      </c>
      <c r="F254" s="17">
        <v>0</v>
      </c>
      <c r="G254" s="17">
        <v>3000</v>
      </c>
      <c r="H254" s="18">
        <f>F254-G254</f>
        <v>-3000</v>
      </c>
      <c r="I254" s="18">
        <f>H254</f>
        <v>-3000</v>
      </c>
      <c r="J254" s="17">
        <v>0</v>
      </c>
      <c r="K254" s="19" t="s">
        <v>13</v>
      </c>
      <c r="L254" s="19" t="s">
        <v>13</v>
      </c>
    </row>
    <row r="255" spans="1:12" outlineLevel="1">
      <c r="A255" s="1">
        <v>1300</v>
      </c>
      <c r="B255" s="2" t="s">
        <v>19</v>
      </c>
      <c r="C255" s="3" t="s">
        <v>183</v>
      </c>
      <c r="D255" s="2" t="s">
        <v>187</v>
      </c>
      <c r="E255" s="2">
        <v>20258029</v>
      </c>
      <c r="F255" s="17">
        <v>0</v>
      </c>
      <c r="G255" s="17">
        <v>48400</v>
      </c>
      <c r="H255" s="18">
        <f>F255-G255</f>
        <v>-48400</v>
      </c>
      <c r="I255" s="18">
        <f>I254+H255</f>
        <v>-51400</v>
      </c>
      <c r="J255" s="17"/>
      <c r="K255" s="19" t="s">
        <v>13</v>
      </c>
      <c r="L255" s="19" t="s">
        <v>13</v>
      </c>
    </row>
    <row r="256" spans="1:12" outlineLevel="1">
      <c r="A256" s="1">
        <v>1300</v>
      </c>
      <c r="B256" s="2" t="s">
        <v>19</v>
      </c>
      <c r="C256" s="3" t="s">
        <v>185</v>
      </c>
      <c r="D256" s="2" t="s">
        <v>187</v>
      </c>
      <c r="E256" s="2">
        <v>20258030</v>
      </c>
      <c r="F256" s="17">
        <v>0</v>
      </c>
      <c r="G256" s="17">
        <v>36300</v>
      </c>
      <c r="H256" s="18">
        <f>F256-G256</f>
        <v>-36300</v>
      </c>
      <c r="I256" s="18">
        <f>I255+H256</f>
        <v>-87700</v>
      </c>
      <c r="J256" s="17"/>
      <c r="K256" s="19" t="s">
        <v>13</v>
      </c>
      <c r="L256" s="19" t="s">
        <v>13</v>
      </c>
    </row>
    <row r="257" spans="1:12" outlineLevel="1">
      <c r="A257" s="20"/>
      <c r="B257" s="20"/>
      <c r="C257" s="20"/>
      <c r="D257" s="20"/>
      <c r="E257" s="20"/>
      <c r="F257" s="21">
        <f>SUBTOTAL(9,F254:F256)</f>
        <v>0</v>
      </c>
      <c r="G257" s="21">
        <f>SUBTOTAL(9,G254:G256)</f>
        <v>87700</v>
      </c>
      <c r="H257" s="21">
        <f>F257-G257</f>
        <v>-87700</v>
      </c>
      <c r="I257" s="20"/>
      <c r="J257" s="20"/>
      <c r="K257" s="20"/>
      <c r="L257" s="20"/>
    </row>
    <row r="258" spans="1:12">
      <c r="A258" s="12" t="s">
        <v>32</v>
      </c>
      <c r="B258" s="13"/>
      <c r="C258" s="14"/>
      <c r="D258" s="13"/>
      <c r="E258" s="13"/>
      <c r="F258" s="15"/>
      <c r="G258" s="15"/>
      <c r="H258" s="16"/>
      <c r="I258" s="16"/>
      <c r="J258" s="15"/>
      <c r="K258" s="13"/>
      <c r="L258" s="13"/>
    </row>
    <row r="259" spans="1:12" outlineLevel="1">
      <c r="A259" s="1">
        <v>2011</v>
      </c>
      <c r="B259" s="2" t="s">
        <v>15</v>
      </c>
      <c r="C259" s="3">
        <v>45992</v>
      </c>
      <c r="D259" s="2" t="s">
        <v>97</v>
      </c>
      <c r="F259" s="17">
        <v>0</v>
      </c>
      <c r="G259" s="17">
        <v>0</v>
      </c>
      <c r="H259" s="18">
        <f>F259-G259</f>
        <v>0</v>
      </c>
      <c r="I259" s="18">
        <f>H259</f>
        <v>0</v>
      </c>
      <c r="J259" s="17">
        <v>0</v>
      </c>
      <c r="K259" s="19" t="s">
        <v>18</v>
      </c>
      <c r="L259" s="19" t="s">
        <v>13</v>
      </c>
    </row>
    <row r="260" spans="1:12" outlineLevel="1">
      <c r="A260" s="1">
        <v>2011</v>
      </c>
      <c r="B260" s="2" t="s">
        <v>15</v>
      </c>
      <c r="C260" s="3">
        <v>46022</v>
      </c>
      <c r="D260" s="2" t="s">
        <v>131</v>
      </c>
      <c r="F260" s="17">
        <v>0</v>
      </c>
      <c r="G260" s="17">
        <v>0</v>
      </c>
      <c r="H260" s="18">
        <f>F260-G260</f>
        <v>0</v>
      </c>
      <c r="I260" s="18">
        <f>I259+H260</f>
        <v>0</v>
      </c>
      <c r="J260" s="17">
        <v>0</v>
      </c>
      <c r="K260" s="19" t="s">
        <v>13</v>
      </c>
      <c r="L260" s="19" t="s">
        <v>13</v>
      </c>
    </row>
    <row r="261" spans="1:12" outlineLevel="1">
      <c r="A261" s="1">
        <v>2011</v>
      </c>
      <c r="B261" s="2" t="s">
        <v>15</v>
      </c>
      <c r="C261" s="3">
        <v>46022</v>
      </c>
      <c r="D261" s="2" t="s">
        <v>132</v>
      </c>
      <c r="F261" s="17">
        <v>0</v>
      </c>
      <c r="G261" s="17">
        <v>0</v>
      </c>
      <c r="H261" s="18">
        <f>F261-G261</f>
        <v>0</v>
      </c>
      <c r="I261" s="18">
        <f>I260+H261</f>
        <v>0</v>
      </c>
      <c r="J261" s="17">
        <v>0</v>
      </c>
      <c r="K261" s="19" t="s">
        <v>13</v>
      </c>
      <c r="L261" s="19" t="s">
        <v>13</v>
      </c>
    </row>
    <row r="262" spans="1:12" outlineLevel="1">
      <c r="A262" s="1">
        <v>2011</v>
      </c>
      <c r="B262" s="2" t="s">
        <v>15</v>
      </c>
      <c r="C262" s="3">
        <v>46022</v>
      </c>
      <c r="D262" s="2" t="s">
        <v>98</v>
      </c>
      <c r="F262" s="17">
        <v>0</v>
      </c>
      <c r="G262" s="17">
        <v>0</v>
      </c>
      <c r="H262" s="18">
        <f>F262-G262</f>
        <v>0</v>
      </c>
      <c r="I262" s="18">
        <f>I261+H262</f>
        <v>0</v>
      </c>
      <c r="J262" s="17">
        <v>0</v>
      </c>
      <c r="K262" s="19" t="s">
        <v>13</v>
      </c>
      <c r="L262" s="19" t="s">
        <v>13</v>
      </c>
    </row>
    <row r="263" spans="1:12" outlineLevel="1">
      <c r="A263" s="1">
        <v>2011</v>
      </c>
      <c r="B263" s="2" t="s">
        <v>15</v>
      </c>
      <c r="C263" s="3">
        <v>46022</v>
      </c>
      <c r="D263" s="2" t="s">
        <v>25</v>
      </c>
      <c r="F263" s="17">
        <v>0</v>
      </c>
      <c r="G263" s="17">
        <v>0</v>
      </c>
      <c r="H263" s="18">
        <f>F263-G263</f>
        <v>0</v>
      </c>
      <c r="I263" s="18">
        <f>I262+H263</f>
        <v>0</v>
      </c>
      <c r="J263" s="17">
        <v>0</v>
      </c>
      <c r="K263" s="19" t="s">
        <v>18</v>
      </c>
      <c r="L263" s="19" t="s">
        <v>13</v>
      </c>
    </row>
    <row r="264" spans="1:12" outlineLevel="1">
      <c r="A264" s="1">
        <v>2011</v>
      </c>
      <c r="B264" s="2" t="s">
        <v>15</v>
      </c>
      <c r="C264" s="3">
        <v>46022</v>
      </c>
      <c r="D264" s="2" t="s">
        <v>133</v>
      </c>
      <c r="F264" s="17">
        <v>0</v>
      </c>
      <c r="G264" s="17">
        <v>0</v>
      </c>
      <c r="H264" s="18">
        <f>F264-G264</f>
        <v>0</v>
      </c>
      <c r="I264" s="18">
        <f>I263+H264</f>
        <v>0</v>
      </c>
      <c r="J264" s="17">
        <v>0</v>
      </c>
      <c r="K264" s="19" t="s">
        <v>13</v>
      </c>
      <c r="L264" s="19" t="s">
        <v>13</v>
      </c>
    </row>
    <row r="265" spans="1:12" outlineLevel="1">
      <c r="A265" s="1">
        <v>2011</v>
      </c>
      <c r="B265" s="2" t="s">
        <v>15</v>
      </c>
      <c r="C265" s="3">
        <v>46022</v>
      </c>
      <c r="D265" s="2" t="s">
        <v>23</v>
      </c>
      <c r="F265" s="17">
        <v>0</v>
      </c>
      <c r="G265" s="17">
        <v>0</v>
      </c>
      <c r="H265" s="18">
        <f>F265-G265</f>
        <v>0</v>
      </c>
      <c r="I265" s="18">
        <f>I264+H265</f>
        <v>0</v>
      </c>
      <c r="J265" s="17">
        <v>0</v>
      </c>
      <c r="K265" s="19" t="s">
        <v>13</v>
      </c>
      <c r="L265" s="19" t="s">
        <v>13</v>
      </c>
    </row>
    <row r="266" spans="1:12" outlineLevel="1">
      <c r="A266" s="1">
        <v>2011</v>
      </c>
      <c r="B266" s="2" t="s">
        <v>15</v>
      </c>
      <c r="C266" s="3">
        <v>46022</v>
      </c>
      <c r="D266" s="2" t="s">
        <v>16</v>
      </c>
      <c r="F266" s="17">
        <v>0</v>
      </c>
      <c r="G266" s="17">
        <v>0</v>
      </c>
      <c r="H266" s="18">
        <f>F266-G266</f>
        <v>0</v>
      </c>
      <c r="I266" s="18">
        <f>I265+H266</f>
        <v>0</v>
      </c>
      <c r="J266" s="17">
        <v>0</v>
      </c>
      <c r="K266" s="19" t="s">
        <v>13</v>
      </c>
      <c r="L266" s="19" t="s">
        <v>13</v>
      </c>
    </row>
    <row r="267" spans="1:12" outlineLevel="1">
      <c r="A267" s="20"/>
      <c r="B267" s="20"/>
      <c r="C267" s="20"/>
      <c r="D267" s="20"/>
      <c r="E267" s="20"/>
      <c r="F267" s="21">
        <f>SUBTOTAL(9,F259:F266)</f>
        <v>0</v>
      </c>
      <c r="G267" s="21">
        <f>SUBTOTAL(9,G259:G266)</f>
        <v>0</v>
      </c>
      <c r="H267" s="21">
        <f>F267-G267</f>
        <v>0</v>
      </c>
      <c r="I267" s="20"/>
      <c r="J267" s="20"/>
      <c r="K267" s="20"/>
      <c r="L267" s="20"/>
    </row>
    <row r="268" spans="1:12">
      <c r="A268" s="12" t="s">
        <v>33</v>
      </c>
      <c r="B268" s="13"/>
      <c r="C268" s="14"/>
      <c r="D268" s="13"/>
      <c r="E268" s="13"/>
      <c r="F268" s="15"/>
      <c r="G268" s="15"/>
      <c r="H268" s="16"/>
      <c r="I268" s="16"/>
      <c r="J268" s="15"/>
      <c r="K268" s="13"/>
      <c r="L268" s="13"/>
    </row>
    <row r="269" spans="1:12" outlineLevel="1">
      <c r="A269" s="1">
        <v>1600</v>
      </c>
      <c r="B269" s="2" t="s">
        <v>20</v>
      </c>
      <c r="C269" s="3">
        <v>45990</v>
      </c>
      <c r="D269" s="2" t="s">
        <v>134</v>
      </c>
      <c r="E269" s="2" t="s">
        <v>113</v>
      </c>
      <c r="F269" s="17">
        <v>35.1</v>
      </c>
      <c r="G269" s="17">
        <v>0</v>
      </c>
      <c r="H269" s="18">
        <f>F269-G269</f>
        <v>35.1</v>
      </c>
      <c r="I269" s="18">
        <f>H269</f>
        <v>35.1</v>
      </c>
      <c r="J269" s="17">
        <v>21</v>
      </c>
      <c r="K269" s="19" t="s">
        <v>13</v>
      </c>
      <c r="L269" s="19" t="s">
        <v>13</v>
      </c>
    </row>
    <row r="270" spans="1:12" outlineLevel="1">
      <c r="A270" s="1">
        <v>1600</v>
      </c>
      <c r="B270" s="2" t="s">
        <v>20</v>
      </c>
      <c r="C270" s="3">
        <v>46015</v>
      </c>
      <c r="D270" s="2" t="s">
        <v>135</v>
      </c>
      <c r="E270" s="2" t="s">
        <v>123</v>
      </c>
      <c r="F270" s="17">
        <v>968.4</v>
      </c>
      <c r="G270" s="17">
        <v>0</v>
      </c>
      <c r="H270" s="18">
        <f>F270-G270</f>
        <v>968.4</v>
      </c>
      <c r="I270" s="18">
        <f>I269+H270</f>
        <v>1003.5</v>
      </c>
      <c r="J270" s="17">
        <v>21</v>
      </c>
      <c r="K270" s="19" t="s">
        <v>13</v>
      </c>
      <c r="L270" s="19" t="s">
        <v>13</v>
      </c>
    </row>
    <row r="271" spans="1:12" outlineLevel="1">
      <c r="A271" s="1">
        <v>1600</v>
      </c>
      <c r="B271" s="2" t="s">
        <v>20</v>
      </c>
      <c r="C271" s="3">
        <v>46020</v>
      </c>
      <c r="D271" s="2" t="s">
        <v>136</v>
      </c>
      <c r="E271" s="2" t="s">
        <v>126</v>
      </c>
      <c r="F271" s="17">
        <v>35.1</v>
      </c>
      <c r="G271" s="17">
        <v>0</v>
      </c>
      <c r="H271" s="18">
        <f>F271-G271</f>
        <v>35.1</v>
      </c>
      <c r="I271" s="18">
        <f>I270+H271</f>
        <v>1038.5999999999999</v>
      </c>
      <c r="J271" s="17">
        <v>21</v>
      </c>
      <c r="K271" s="19" t="s">
        <v>13</v>
      </c>
      <c r="L271" s="19" t="s">
        <v>13</v>
      </c>
    </row>
    <row r="272" spans="1:12" outlineLevel="1">
      <c r="A272" s="20"/>
      <c r="B272" s="20"/>
      <c r="C272" s="20"/>
      <c r="D272" s="20"/>
      <c r="E272" s="20"/>
      <c r="F272" s="21">
        <f>SUBTOTAL(9,F269:F271)</f>
        <v>1038.5999999999999</v>
      </c>
      <c r="G272" s="21">
        <f>SUBTOTAL(9,G269:G271)</f>
        <v>0</v>
      </c>
      <c r="H272" s="21">
        <f>F272-G272</f>
        <v>1038.5999999999999</v>
      </c>
      <c r="I272" s="20"/>
      <c r="J272" s="20"/>
      <c r="K272" s="20"/>
      <c r="L272" s="20"/>
    </row>
    <row r="273" spans="1:12">
      <c r="A273" s="12" t="s">
        <v>34</v>
      </c>
      <c r="B273" s="13"/>
      <c r="C273" s="14"/>
      <c r="D273" s="13"/>
      <c r="E273" s="13"/>
      <c r="F273" s="15"/>
      <c r="G273" s="15"/>
      <c r="H273" s="16"/>
      <c r="I273" s="16"/>
      <c r="J273" s="15"/>
      <c r="K273" s="13"/>
      <c r="L273" s="13"/>
    </row>
    <row r="274" spans="1:12" outlineLevel="1">
      <c r="A274" s="1">
        <v>1600</v>
      </c>
      <c r="B274" s="2" t="s">
        <v>20</v>
      </c>
      <c r="C274" s="3">
        <v>45992</v>
      </c>
      <c r="D274" s="2" t="s">
        <v>137</v>
      </c>
      <c r="E274" s="2" t="s">
        <v>114</v>
      </c>
      <c r="F274" s="17">
        <v>57.03</v>
      </c>
      <c r="G274" s="17">
        <v>0</v>
      </c>
      <c r="H274" s="18">
        <f>F274-G274</f>
        <v>57.03</v>
      </c>
      <c r="I274" s="18">
        <f>H274</f>
        <v>57.03</v>
      </c>
      <c r="J274" s="17">
        <v>0</v>
      </c>
      <c r="K274" s="19" t="s">
        <v>13</v>
      </c>
      <c r="L274" s="19" t="s">
        <v>13</v>
      </c>
    </row>
    <row r="275" spans="1:12" outlineLevel="1">
      <c r="A275" s="20"/>
      <c r="B275" s="20"/>
      <c r="C275" s="20"/>
      <c r="D275" s="20"/>
      <c r="E275" s="20"/>
      <c r="F275" s="21">
        <f>SUBTOTAL(9,F274:F274)</f>
        <v>57.03</v>
      </c>
      <c r="G275" s="21">
        <f>SUBTOTAL(9,G274:G274)</f>
        <v>0</v>
      </c>
      <c r="H275" s="21">
        <f>F275-G275</f>
        <v>57.03</v>
      </c>
      <c r="I275" s="20"/>
      <c r="J275" s="20"/>
      <c r="K275" s="20"/>
      <c r="L275" s="20"/>
    </row>
    <row r="276" spans="1:12">
      <c r="A276" s="12" t="s">
        <v>35</v>
      </c>
      <c r="B276" s="13"/>
      <c r="C276" s="14"/>
      <c r="D276" s="13"/>
      <c r="E276" s="13"/>
      <c r="F276" s="15"/>
      <c r="G276" s="15"/>
      <c r="H276" s="16"/>
      <c r="I276" s="16"/>
      <c r="J276" s="15"/>
      <c r="K276" s="13"/>
      <c r="L276" s="13"/>
    </row>
    <row r="277" spans="1:12" outlineLevel="1">
      <c r="A277" s="1">
        <v>1600</v>
      </c>
      <c r="B277" s="2" t="s">
        <v>20</v>
      </c>
      <c r="C277" s="3">
        <v>45975</v>
      </c>
      <c r="D277" s="2" t="s">
        <v>138</v>
      </c>
      <c r="E277" s="2" t="s">
        <v>110</v>
      </c>
      <c r="F277" s="17">
        <v>709.71</v>
      </c>
      <c r="G277" s="17">
        <v>0</v>
      </c>
      <c r="H277" s="18">
        <f>F277-G277</f>
        <v>709.71</v>
      </c>
      <c r="I277" s="18">
        <f>H277</f>
        <v>709.71</v>
      </c>
      <c r="J277" s="17">
        <v>0</v>
      </c>
      <c r="K277" s="19" t="s">
        <v>13</v>
      </c>
      <c r="L277" s="19" t="s">
        <v>13</v>
      </c>
    </row>
    <row r="278" spans="1:12" outlineLevel="1">
      <c r="A278" s="20"/>
      <c r="B278" s="20"/>
      <c r="C278" s="20"/>
      <c r="D278" s="20"/>
      <c r="E278" s="20"/>
      <c r="F278" s="21">
        <f>SUBTOTAL(9,F277:F277)</f>
        <v>709.71</v>
      </c>
      <c r="G278" s="21">
        <f>SUBTOTAL(9,G277:G277)</f>
        <v>0</v>
      </c>
      <c r="H278" s="21">
        <f>F278-G278</f>
        <v>709.71</v>
      </c>
      <c r="I278" s="20"/>
      <c r="J278" s="20"/>
      <c r="K278" s="20"/>
      <c r="L278" s="20"/>
    </row>
    <row r="279" spans="1:12">
      <c r="A279" s="12" t="s">
        <v>36</v>
      </c>
      <c r="B279" s="13"/>
      <c r="C279" s="14"/>
      <c r="D279" s="13"/>
      <c r="E279" s="13"/>
      <c r="F279" s="15"/>
      <c r="G279" s="15"/>
      <c r="H279" s="16"/>
      <c r="I279" s="16"/>
      <c r="J279" s="15"/>
      <c r="K279" s="13"/>
      <c r="L279" s="13"/>
    </row>
    <row r="280" spans="1:12" outlineLevel="1">
      <c r="A280" s="1">
        <v>1600</v>
      </c>
      <c r="B280" s="2" t="s">
        <v>20</v>
      </c>
      <c r="C280" s="3">
        <v>46001</v>
      </c>
      <c r="D280" s="2" t="s">
        <v>139</v>
      </c>
      <c r="E280" s="2">
        <v>30282742</v>
      </c>
      <c r="F280" s="17">
        <v>225</v>
      </c>
      <c r="G280" s="17">
        <v>0</v>
      </c>
      <c r="H280" s="18">
        <f>F280-G280</f>
        <v>225</v>
      </c>
      <c r="I280" s="18">
        <f>H280</f>
        <v>225</v>
      </c>
      <c r="J280" s="17">
        <v>21</v>
      </c>
      <c r="K280" s="19" t="s">
        <v>13</v>
      </c>
      <c r="L280" s="19" t="s">
        <v>13</v>
      </c>
    </row>
    <row r="281" spans="1:12" outlineLevel="1">
      <c r="A281" s="1">
        <v>1600</v>
      </c>
      <c r="B281" s="2" t="s">
        <v>20</v>
      </c>
      <c r="C281" s="3">
        <v>46015</v>
      </c>
      <c r="D281" s="2" t="s">
        <v>140</v>
      </c>
      <c r="E281" s="2" t="s">
        <v>125</v>
      </c>
      <c r="F281" s="17">
        <v>1530</v>
      </c>
      <c r="G281" s="17">
        <v>0</v>
      </c>
      <c r="H281" s="18">
        <f>F281-G281</f>
        <v>1530</v>
      </c>
      <c r="I281" s="18">
        <f>I280+H281</f>
        <v>1755</v>
      </c>
      <c r="J281" s="17">
        <v>21</v>
      </c>
      <c r="K281" s="19" t="s">
        <v>13</v>
      </c>
      <c r="L281" s="19" t="s">
        <v>13</v>
      </c>
    </row>
    <row r="282" spans="1:12" outlineLevel="1">
      <c r="A282" s="20"/>
      <c r="B282" s="20"/>
      <c r="C282" s="20"/>
      <c r="D282" s="20"/>
      <c r="E282" s="20"/>
      <c r="F282" s="21">
        <f>SUBTOTAL(9,F280:F281)</f>
        <v>1755</v>
      </c>
      <c r="G282" s="21">
        <f>SUBTOTAL(9,G280:G281)</f>
        <v>0</v>
      </c>
      <c r="H282" s="21">
        <f>F282-G282</f>
        <v>1755</v>
      </c>
      <c r="I282" s="20"/>
      <c r="J282" s="20"/>
      <c r="K282" s="20"/>
      <c r="L282" s="20"/>
    </row>
    <row r="283" spans="1:12">
      <c r="A283" s="12" t="s">
        <v>37</v>
      </c>
      <c r="B283" s="13"/>
      <c r="C283" s="14"/>
      <c r="D283" s="13"/>
      <c r="E283" s="13"/>
      <c r="F283" s="15"/>
      <c r="G283" s="15"/>
      <c r="H283" s="16"/>
      <c r="I283" s="16"/>
      <c r="J283" s="15"/>
      <c r="K283" s="13"/>
      <c r="L283" s="13"/>
    </row>
    <row r="284" spans="1:12" outlineLevel="1">
      <c r="A284" s="1">
        <v>2011</v>
      </c>
      <c r="B284" s="2" t="s">
        <v>15</v>
      </c>
      <c r="C284" s="3">
        <v>45992</v>
      </c>
      <c r="D284" s="2" t="s">
        <v>97</v>
      </c>
      <c r="F284" s="17">
        <v>1080</v>
      </c>
      <c r="G284" s="17">
        <v>0</v>
      </c>
      <c r="H284" s="18">
        <f>F284-G284</f>
        <v>1080</v>
      </c>
      <c r="I284" s="18">
        <f>H284</f>
        <v>1080</v>
      </c>
      <c r="J284" s="17">
        <v>0</v>
      </c>
      <c r="K284" s="19" t="s">
        <v>18</v>
      </c>
      <c r="L284" s="19" t="s">
        <v>13</v>
      </c>
    </row>
    <row r="285" spans="1:12" outlineLevel="1">
      <c r="A285" s="1">
        <v>1600</v>
      </c>
      <c r="B285" s="2" t="s">
        <v>20</v>
      </c>
      <c r="C285" s="3">
        <v>46022</v>
      </c>
      <c r="D285" s="2" t="s">
        <v>141</v>
      </c>
      <c r="E285" s="2" t="s">
        <v>130</v>
      </c>
      <c r="F285" s="17">
        <v>1440</v>
      </c>
      <c r="G285" s="17">
        <v>0</v>
      </c>
      <c r="H285" s="18">
        <f>F285-G285</f>
        <v>1440</v>
      </c>
      <c r="I285" s="18">
        <f>I284+H285</f>
        <v>2520</v>
      </c>
      <c r="J285" s="17">
        <v>21</v>
      </c>
      <c r="K285" s="19" t="s">
        <v>13</v>
      </c>
      <c r="L285" s="19" t="s">
        <v>13</v>
      </c>
    </row>
    <row r="286" spans="1:12" outlineLevel="1">
      <c r="A286" s="20"/>
      <c r="B286" s="20"/>
      <c r="C286" s="20"/>
      <c r="D286" s="20"/>
      <c r="E286" s="20"/>
      <c r="F286" s="21">
        <f>SUBTOTAL(9,F284:F285)</f>
        <v>2520</v>
      </c>
      <c r="G286" s="21">
        <f>SUBTOTAL(9,G284:G285)</f>
        <v>0</v>
      </c>
      <c r="H286" s="21">
        <f>F286-G286</f>
        <v>2520</v>
      </c>
      <c r="I286" s="20"/>
      <c r="J286" s="20"/>
      <c r="K286" s="20"/>
      <c r="L286" s="20"/>
    </row>
    <row r="287" spans="1:12">
      <c r="A287" s="12" t="s">
        <v>38</v>
      </c>
      <c r="B287" s="13"/>
      <c r="C287" s="14"/>
      <c r="D287" s="13"/>
      <c r="E287" s="13"/>
      <c r="F287" s="15"/>
      <c r="G287" s="15"/>
      <c r="H287" s="16"/>
      <c r="I287" s="16"/>
      <c r="J287" s="15"/>
      <c r="K287" s="13"/>
      <c r="L287" s="13"/>
    </row>
    <row r="288" spans="1:12" outlineLevel="1">
      <c r="A288" s="1">
        <v>1101</v>
      </c>
      <c r="B288" s="2" t="s">
        <v>162</v>
      </c>
      <c r="C288" s="3">
        <v>45926</v>
      </c>
      <c r="D288" s="2" t="s">
        <v>57</v>
      </c>
      <c r="F288" s="17">
        <v>15.84</v>
      </c>
      <c r="G288" s="17">
        <v>0</v>
      </c>
      <c r="H288" s="18">
        <f>F288-G288</f>
        <v>15.84</v>
      </c>
      <c r="I288" s="18">
        <f>H288</f>
        <v>15.84</v>
      </c>
      <c r="J288" s="17">
        <v>0</v>
      </c>
      <c r="K288" s="19" t="s">
        <v>13</v>
      </c>
      <c r="L288" s="19" t="s">
        <v>13</v>
      </c>
    </row>
    <row r="289" spans="1:12" outlineLevel="1">
      <c r="A289" s="1">
        <v>1101</v>
      </c>
      <c r="B289" s="2" t="s">
        <v>162</v>
      </c>
      <c r="C289" s="3">
        <v>45928</v>
      </c>
      <c r="D289" s="2" t="s">
        <v>57</v>
      </c>
      <c r="F289" s="17">
        <v>150</v>
      </c>
      <c r="G289" s="17">
        <v>0</v>
      </c>
      <c r="H289" s="18">
        <f>F289-G289</f>
        <v>150</v>
      </c>
      <c r="I289" s="18">
        <f>I288+H289</f>
        <v>165.84</v>
      </c>
      <c r="J289" s="17">
        <v>0</v>
      </c>
      <c r="K289" s="19" t="s">
        <v>13</v>
      </c>
      <c r="L289" s="19" t="s">
        <v>13</v>
      </c>
    </row>
    <row r="290" spans="1:12" outlineLevel="1">
      <c r="A290" s="1">
        <v>1101</v>
      </c>
      <c r="B290" s="2" t="s">
        <v>162</v>
      </c>
      <c r="C290" s="3">
        <v>45931</v>
      </c>
      <c r="D290" s="2" t="s">
        <v>57</v>
      </c>
      <c r="F290" s="17">
        <v>119.94</v>
      </c>
      <c r="G290" s="17">
        <v>0</v>
      </c>
      <c r="H290" s="18">
        <f>F290-G290</f>
        <v>119.94</v>
      </c>
      <c r="I290" s="18">
        <f>I289+H290</f>
        <v>285.77999999999997</v>
      </c>
      <c r="J290" s="17">
        <v>0</v>
      </c>
      <c r="K290" s="19" t="s">
        <v>13</v>
      </c>
      <c r="L290" s="19" t="s">
        <v>13</v>
      </c>
    </row>
    <row r="291" spans="1:12" outlineLevel="1">
      <c r="A291" s="1">
        <v>1101</v>
      </c>
      <c r="B291" s="2" t="s">
        <v>162</v>
      </c>
      <c r="C291" s="3">
        <v>45956</v>
      </c>
      <c r="D291" s="2" t="s">
        <v>57</v>
      </c>
      <c r="F291" s="17">
        <v>900</v>
      </c>
      <c r="G291" s="17">
        <v>0</v>
      </c>
      <c r="H291" s="18">
        <f>F291-G291</f>
        <v>900</v>
      </c>
      <c r="I291" s="18">
        <f>I290+H291</f>
        <v>1185.78</v>
      </c>
      <c r="J291" s="17">
        <v>0</v>
      </c>
      <c r="K291" s="19" t="s">
        <v>13</v>
      </c>
      <c r="L291" s="19" t="s">
        <v>13</v>
      </c>
    </row>
    <row r="292" spans="1:12" outlineLevel="1">
      <c r="A292" s="1">
        <v>1600</v>
      </c>
      <c r="B292" s="2" t="s">
        <v>20</v>
      </c>
      <c r="C292" s="3">
        <v>45991</v>
      </c>
      <c r="D292" s="2" t="s">
        <v>142</v>
      </c>
      <c r="E292" s="2">
        <v>9988776655</v>
      </c>
      <c r="F292" s="17">
        <v>621.80999999999995</v>
      </c>
      <c r="G292" s="17">
        <v>0</v>
      </c>
      <c r="H292" s="18">
        <f>F292-G292</f>
        <v>621.80999999999995</v>
      </c>
      <c r="I292" s="18">
        <f>I291+H292</f>
        <v>1807.59</v>
      </c>
      <c r="J292" s="17">
        <v>0</v>
      </c>
      <c r="K292" s="19" t="s">
        <v>13</v>
      </c>
      <c r="L292" s="19" t="s">
        <v>13</v>
      </c>
    </row>
    <row r="293" spans="1:12" outlineLevel="1">
      <c r="A293" s="1">
        <v>1600</v>
      </c>
      <c r="B293" s="2" t="s">
        <v>20</v>
      </c>
      <c r="C293" s="3">
        <v>45991</v>
      </c>
      <c r="D293" s="2" t="s">
        <v>142</v>
      </c>
      <c r="E293" s="2" t="s">
        <v>112</v>
      </c>
      <c r="F293" s="17">
        <v>441.81</v>
      </c>
      <c r="G293" s="17">
        <v>0</v>
      </c>
      <c r="H293" s="18">
        <f>F293-G293</f>
        <v>441.81</v>
      </c>
      <c r="I293" s="18">
        <f>I292+H293</f>
        <v>2249.4</v>
      </c>
      <c r="J293" s="17">
        <v>0</v>
      </c>
      <c r="K293" s="19" t="s">
        <v>13</v>
      </c>
      <c r="L293" s="19" t="s">
        <v>13</v>
      </c>
    </row>
    <row r="294" spans="1:12" outlineLevel="1">
      <c r="A294" s="1">
        <v>1600</v>
      </c>
      <c r="B294" s="2" t="s">
        <v>20</v>
      </c>
      <c r="C294" s="3">
        <v>45996</v>
      </c>
      <c r="D294" s="2" t="s">
        <v>143</v>
      </c>
      <c r="E294" s="2">
        <v>990011223344</v>
      </c>
      <c r="F294" s="17">
        <v>320.55</v>
      </c>
      <c r="G294" s="17">
        <v>0</v>
      </c>
      <c r="H294" s="18">
        <f>F294-G294</f>
        <v>320.55</v>
      </c>
      <c r="I294" s="18">
        <f>I293+H294</f>
        <v>2569.9500000000003</v>
      </c>
      <c r="J294" s="17">
        <v>0</v>
      </c>
      <c r="K294" s="19" t="s">
        <v>13</v>
      </c>
      <c r="L294" s="19" t="s">
        <v>13</v>
      </c>
    </row>
    <row r="295" spans="1:12" outlineLevel="1">
      <c r="A295" s="1">
        <v>1600</v>
      </c>
      <c r="B295" s="2" t="s">
        <v>20</v>
      </c>
      <c r="C295" s="3">
        <v>46008</v>
      </c>
      <c r="D295" s="2" t="s">
        <v>143</v>
      </c>
      <c r="E295" s="2">
        <v>990011223355</v>
      </c>
      <c r="F295" s="17">
        <v>440.1</v>
      </c>
      <c r="G295" s="17">
        <v>0</v>
      </c>
      <c r="H295" s="18">
        <f>F295-G295</f>
        <v>440.1</v>
      </c>
      <c r="I295" s="18">
        <f>I294+H295</f>
        <v>3010.05</v>
      </c>
      <c r="J295" s="17">
        <v>0</v>
      </c>
      <c r="K295" s="19" t="s">
        <v>13</v>
      </c>
      <c r="L295" s="19" t="s">
        <v>13</v>
      </c>
    </row>
    <row r="296" spans="1:12" outlineLevel="1">
      <c r="A296" s="1">
        <v>1600</v>
      </c>
      <c r="B296" s="2" t="s">
        <v>20</v>
      </c>
      <c r="C296" s="3">
        <v>46013</v>
      </c>
      <c r="D296" s="2" t="s">
        <v>143</v>
      </c>
      <c r="E296" s="2">
        <v>990011223366</v>
      </c>
      <c r="F296" s="17">
        <v>326.61</v>
      </c>
      <c r="G296" s="17">
        <v>0</v>
      </c>
      <c r="H296" s="18">
        <f>F296-G296</f>
        <v>326.61</v>
      </c>
      <c r="I296" s="18">
        <f>I295+H296</f>
        <v>3336.6600000000003</v>
      </c>
      <c r="J296" s="17">
        <v>0</v>
      </c>
      <c r="K296" s="19" t="s">
        <v>13</v>
      </c>
      <c r="L296" s="19" t="s">
        <v>13</v>
      </c>
    </row>
    <row r="297" spans="1:12" outlineLevel="1">
      <c r="A297" s="1">
        <v>1600</v>
      </c>
      <c r="B297" s="2" t="s">
        <v>20</v>
      </c>
      <c r="C297" s="3">
        <v>46022</v>
      </c>
      <c r="D297" s="2" t="s">
        <v>142</v>
      </c>
      <c r="E297" s="2" t="s">
        <v>107</v>
      </c>
      <c r="F297" s="17">
        <v>2716.74</v>
      </c>
      <c r="G297" s="17">
        <v>0</v>
      </c>
      <c r="H297" s="18">
        <f>F297-G297</f>
        <v>2716.74</v>
      </c>
      <c r="I297" s="18">
        <f>I296+H297</f>
        <v>6053.4</v>
      </c>
      <c r="J297" s="17">
        <v>0</v>
      </c>
      <c r="K297" s="19" t="s">
        <v>13</v>
      </c>
      <c r="L297" s="19" t="s">
        <v>13</v>
      </c>
    </row>
    <row r="298" spans="1:12" outlineLevel="1">
      <c r="A298" s="1">
        <v>1600</v>
      </c>
      <c r="B298" s="2" t="s">
        <v>20</v>
      </c>
      <c r="C298" s="3">
        <v>46022</v>
      </c>
      <c r="D298" s="2" t="s">
        <v>142</v>
      </c>
      <c r="E298" s="2">
        <v>20251231</v>
      </c>
      <c r="F298" s="17">
        <v>774.93</v>
      </c>
      <c r="G298" s="17">
        <v>0</v>
      </c>
      <c r="H298" s="18">
        <f>F298-G298</f>
        <v>774.93</v>
      </c>
      <c r="I298" s="18">
        <f>I297+H298</f>
        <v>6828.33</v>
      </c>
      <c r="J298" s="17">
        <v>0</v>
      </c>
      <c r="K298" s="19" t="s">
        <v>13</v>
      </c>
      <c r="L298" s="19" t="s">
        <v>13</v>
      </c>
    </row>
    <row r="299" spans="1:12" outlineLevel="1">
      <c r="A299" s="20"/>
      <c r="B299" s="20"/>
      <c r="C299" s="20"/>
      <c r="D299" s="20"/>
      <c r="E299" s="20"/>
      <c r="F299" s="21">
        <f>SUBTOTAL(9,F288:F298)</f>
        <v>6828.33</v>
      </c>
      <c r="G299" s="21">
        <f>SUBTOTAL(9,G288:G298)</f>
        <v>0</v>
      </c>
      <c r="H299" s="21">
        <f>F299-G299</f>
        <v>6828.33</v>
      </c>
      <c r="I299" s="20"/>
      <c r="J299" s="20"/>
      <c r="K299" s="20"/>
      <c r="L299" s="20"/>
    </row>
    <row r="300" spans="1:12">
      <c r="A300" s="12" t="s">
        <v>39</v>
      </c>
      <c r="B300" s="13"/>
      <c r="C300" s="14"/>
      <c r="D300" s="13"/>
      <c r="E300" s="13"/>
      <c r="F300" s="15"/>
      <c r="G300" s="15"/>
      <c r="H300" s="16"/>
      <c r="I300" s="16"/>
      <c r="J300" s="15"/>
      <c r="K300" s="13"/>
      <c r="L300" s="13"/>
    </row>
    <row r="301" spans="1:12" outlineLevel="1">
      <c r="A301" s="1">
        <v>1101</v>
      </c>
      <c r="B301" s="2" t="s">
        <v>162</v>
      </c>
      <c r="C301" s="3">
        <v>45996</v>
      </c>
      <c r="D301" s="2" t="s">
        <v>78</v>
      </c>
      <c r="F301" s="17">
        <v>84</v>
      </c>
      <c r="G301" s="17">
        <v>0</v>
      </c>
      <c r="H301" s="18">
        <f>F301-G301</f>
        <v>84</v>
      </c>
      <c r="I301" s="18">
        <f>H301</f>
        <v>84</v>
      </c>
      <c r="J301" s="17">
        <v>0</v>
      </c>
      <c r="K301" s="19" t="s">
        <v>13</v>
      </c>
      <c r="L301" s="19" t="s">
        <v>13</v>
      </c>
    </row>
    <row r="302" spans="1:12" outlineLevel="1">
      <c r="A302" s="1">
        <v>1600</v>
      </c>
      <c r="B302" s="2" t="s">
        <v>20</v>
      </c>
      <c r="C302" s="3">
        <v>46004</v>
      </c>
      <c r="D302" s="2" t="s">
        <v>144</v>
      </c>
      <c r="E302" s="2">
        <v>20251213</v>
      </c>
      <c r="F302" s="17">
        <v>180</v>
      </c>
      <c r="G302" s="17">
        <v>0</v>
      </c>
      <c r="H302" s="18">
        <f>F302-G302</f>
        <v>180</v>
      </c>
      <c r="I302" s="18">
        <f>I301+H302</f>
        <v>264</v>
      </c>
      <c r="J302" s="17">
        <v>0</v>
      </c>
      <c r="K302" s="19" t="s">
        <v>13</v>
      </c>
      <c r="L302" s="19" t="s">
        <v>13</v>
      </c>
    </row>
    <row r="303" spans="1:12" outlineLevel="1">
      <c r="A303" s="1">
        <v>1600</v>
      </c>
      <c r="B303" s="2" t="s">
        <v>20</v>
      </c>
      <c r="C303" s="3">
        <v>46011</v>
      </c>
      <c r="D303" s="2" t="s">
        <v>145</v>
      </c>
      <c r="E303" s="2">
        <v>20251220</v>
      </c>
      <c r="F303" s="17">
        <v>615</v>
      </c>
      <c r="G303" s="17">
        <v>0</v>
      </c>
      <c r="H303" s="18">
        <f>F303-G303</f>
        <v>615</v>
      </c>
      <c r="I303" s="18">
        <f>I302+H303</f>
        <v>879</v>
      </c>
      <c r="J303" s="17">
        <v>0</v>
      </c>
      <c r="K303" s="19" t="s">
        <v>13</v>
      </c>
      <c r="L303" s="19" t="s">
        <v>13</v>
      </c>
    </row>
    <row r="304" spans="1:12" outlineLevel="1">
      <c r="A304" s="1">
        <v>1600</v>
      </c>
      <c r="B304" s="2" t="s">
        <v>20</v>
      </c>
      <c r="C304" s="3">
        <v>46021</v>
      </c>
      <c r="D304" s="2" t="s">
        <v>40</v>
      </c>
      <c r="E304" s="2" t="s">
        <v>127</v>
      </c>
      <c r="F304" s="17">
        <v>126</v>
      </c>
      <c r="G304" s="17">
        <v>0</v>
      </c>
      <c r="H304" s="18">
        <f>F304-G304</f>
        <v>126</v>
      </c>
      <c r="I304" s="18">
        <f>I303+H304</f>
        <v>1005</v>
      </c>
      <c r="J304" s="17">
        <v>0</v>
      </c>
      <c r="K304" s="19" t="s">
        <v>13</v>
      </c>
      <c r="L304" s="19" t="s">
        <v>13</v>
      </c>
    </row>
    <row r="305" spans="1:12" outlineLevel="1">
      <c r="A305" s="20"/>
      <c r="B305" s="20"/>
      <c r="C305" s="20"/>
      <c r="D305" s="20"/>
      <c r="E305" s="20"/>
      <c r="F305" s="21">
        <f>SUBTOTAL(9,F301:F304)</f>
        <v>1005</v>
      </c>
      <c r="G305" s="21">
        <f>SUBTOTAL(9,G301:G304)</f>
        <v>0</v>
      </c>
      <c r="H305" s="21">
        <f>F305-G305</f>
        <v>1005</v>
      </c>
      <c r="I305" s="20"/>
      <c r="J305" s="20"/>
      <c r="K305" s="20"/>
      <c r="L305" s="20"/>
    </row>
    <row r="306" spans="1:12">
      <c r="A306" s="12" t="s">
        <v>181</v>
      </c>
      <c r="B306" s="13"/>
      <c r="C306" s="14"/>
      <c r="D306" s="13"/>
      <c r="E306" s="13"/>
      <c r="F306" s="15"/>
      <c r="G306" s="15"/>
      <c r="H306" s="16"/>
      <c r="I306" s="16"/>
      <c r="J306" s="15"/>
      <c r="K306" s="13"/>
      <c r="L306" s="13"/>
    </row>
    <row r="307" spans="1:12" outlineLevel="1">
      <c r="A307" s="1">
        <v>1600</v>
      </c>
      <c r="B307" s="2" t="s">
        <v>20</v>
      </c>
      <c r="C307" s="3">
        <v>45698</v>
      </c>
      <c r="D307" s="2" t="s">
        <v>146</v>
      </c>
      <c r="E307" s="2">
        <v>20260210</v>
      </c>
      <c r="F307" s="17">
        <v>138</v>
      </c>
      <c r="G307" s="17">
        <v>0</v>
      </c>
      <c r="H307" s="18">
        <f>F307-G307</f>
        <v>138</v>
      </c>
      <c r="I307" s="18">
        <f>H307</f>
        <v>138</v>
      </c>
      <c r="J307" s="17">
        <v>0</v>
      </c>
      <c r="K307" s="19" t="s">
        <v>13</v>
      </c>
      <c r="L307" s="19" t="s">
        <v>13</v>
      </c>
    </row>
    <row r="308" spans="1:12" outlineLevel="1">
      <c r="A308" s="1">
        <v>1600</v>
      </c>
      <c r="B308" s="2" t="s">
        <v>20</v>
      </c>
      <c r="C308" s="3">
        <v>45980</v>
      </c>
      <c r="D308" s="2" t="s">
        <v>147</v>
      </c>
      <c r="E308" s="2">
        <v>8353456773146</v>
      </c>
      <c r="F308" s="17">
        <v>805.62</v>
      </c>
      <c r="G308" s="17">
        <v>0</v>
      </c>
      <c r="H308" s="18">
        <f>F308-G308</f>
        <v>805.62</v>
      </c>
      <c r="I308" s="18">
        <f>I307+H308</f>
        <v>943.62</v>
      </c>
      <c r="J308" s="17">
        <v>0</v>
      </c>
      <c r="K308" s="19" t="s">
        <v>13</v>
      </c>
      <c r="L308" s="19" t="s">
        <v>13</v>
      </c>
    </row>
    <row r="309" spans="1:12" outlineLevel="1">
      <c r="A309" s="1">
        <v>1600</v>
      </c>
      <c r="B309" s="2" t="s">
        <v>20</v>
      </c>
      <c r="C309" s="3">
        <v>45995</v>
      </c>
      <c r="D309" s="2" t="s">
        <v>148</v>
      </c>
      <c r="E309" s="2" t="s">
        <v>116</v>
      </c>
      <c r="F309" s="17">
        <v>494.04</v>
      </c>
      <c r="G309" s="17">
        <v>0</v>
      </c>
      <c r="H309" s="18">
        <f>F309-G309</f>
        <v>494.04</v>
      </c>
      <c r="I309" s="18">
        <f>I308+H309</f>
        <v>1437.66</v>
      </c>
      <c r="J309" s="17">
        <v>9</v>
      </c>
      <c r="K309" s="19" t="s">
        <v>13</v>
      </c>
      <c r="L309" s="19" t="s">
        <v>13</v>
      </c>
    </row>
    <row r="310" spans="1:12" outlineLevel="1">
      <c r="A310" s="1">
        <v>1600</v>
      </c>
      <c r="B310" s="2" t="s">
        <v>20</v>
      </c>
      <c r="C310" s="3">
        <v>45995</v>
      </c>
      <c r="D310" s="2" t="s">
        <v>148</v>
      </c>
      <c r="E310" s="2" t="s">
        <v>116</v>
      </c>
      <c r="F310" s="17">
        <v>63.6</v>
      </c>
      <c r="G310" s="17">
        <v>0</v>
      </c>
      <c r="H310" s="18">
        <f>F310-G310</f>
        <v>63.6</v>
      </c>
      <c r="I310" s="18">
        <f>I309+H310</f>
        <v>1501.26</v>
      </c>
      <c r="J310" s="17">
        <v>0</v>
      </c>
      <c r="K310" s="19" t="s">
        <v>13</v>
      </c>
      <c r="L310" s="19" t="s">
        <v>13</v>
      </c>
    </row>
    <row r="311" spans="1:12" outlineLevel="1">
      <c r="A311" s="1">
        <v>1101</v>
      </c>
      <c r="B311" s="2" t="s">
        <v>162</v>
      </c>
      <c r="C311" s="3">
        <v>46001</v>
      </c>
      <c r="D311" s="2" t="s">
        <v>80</v>
      </c>
      <c r="F311" s="17">
        <v>144.30000000000001</v>
      </c>
      <c r="G311" s="17">
        <v>0</v>
      </c>
      <c r="H311" s="18">
        <f>F311-G311</f>
        <v>144.30000000000001</v>
      </c>
      <c r="I311" s="18">
        <f>I310+H311</f>
        <v>1645.56</v>
      </c>
      <c r="J311" s="17">
        <v>0</v>
      </c>
      <c r="K311" s="19" t="s">
        <v>13</v>
      </c>
      <c r="L311" s="19" t="s">
        <v>13</v>
      </c>
    </row>
    <row r="312" spans="1:12" outlineLevel="1">
      <c r="A312" s="1">
        <v>1101</v>
      </c>
      <c r="B312" s="2" t="s">
        <v>162</v>
      </c>
      <c r="C312" s="3">
        <v>46001</v>
      </c>
      <c r="D312" s="2" t="s">
        <v>80</v>
      </c>
      <c r="F312" s="17">
        <v>30</v>
      </c>
      <c r="G312" s="17">
        <v>0</v>
      </c>
      <c r="H312" s="18">
        <f>F312-G312</f>
        <v>30</v>
      </c>
      <c r="I312" s="18">
        <f>I311+H312</f>
        <v>1675.56</v>
      </c>
      <c r="J312" s="17">
        <v>0</v>
      </c>
      <c r="K312" s="19" t="s">
        <v>13</v>
      </c>
      <c r="L312" s="19" t="s">
        <v>13</v>
      </c>
    </row>
    <row r="313" spans="1:12" outlineLevel="1">
      <c r="A313" s="1">
        <v>1600</v>
      </c>
      <c r="B313" s="2" t="s">
        <v>20</v>
      </c>
      <c r="C313" s="3">
        <v>46001</v>
      </c>
      <c r="D313" s="2" t="s">
        <v>149</v>
      </c>
      <c r="E313" s="2">
        <v>20251210</v>
      </c>
      <c r="F313" s="17">
        <v>24</v>
      </c>
      <c r="G313" s="17">
        <v>0</v>
      </c>
      <c r="H313" s="18">
        <f>F313-G313</f>
        <v>24</v>
      </c>
      <c r="I313" s="18">
        <f>I312+H313</f>
        <v>1699.56</v>
      </c>
      <c r="J313" s="17">
        <v>0</v>
      </c>
      <c r="K313" s="19" t="s">
        <v>13</v>
      </c>
      <c r="L313" s="19" t="s">
        <v>13</v>
      </c>
    </row>
    <row r="314" spans="1:12" outlineLevel="1">
      <c r="A314" s="1">
        <v>1101</v>
      </c>
      <c r="B314" s="2" t="s">
        <v>162</v>
      </c>
      <c r="C314" s="3">
        <v>46002</v>
      </c>
      <c r="D314" s="2" t="s">
        <v>81</v>
      </c>
      <c r="F314" s="17">
        <v>21.15</v>
      </c>
      <c r="G314" s="17">
        <v>0</v>
      </c>
      <c r="H314" s="18">
        <f>F314-G314</f>
        <v>21.15</v>
      </c>
      <c r="I314" s="18">
        <f>I313+H314</f>
        <v>1720.71</v>
      </c>
      <c r="J314" s="17">
        <v>0</v>
      </c>
      <c r="K314" s="19" t="s">
        <v>13</v>
      </c>
      <c r="L314" s="19" t="s">
        <v>13</v>
      </c>
    </row>
    <row r="315" spans="1:12" outlineLevel="1">
      <c r="A315" s="1">
        <v>1101</v>
      </c>
      <c r="B315" s="2" t="s">
        <v>162</v>
      </c>
      <c r="C315" s="3">
        <v>46002</v>
      </c>
      <c r="D315" s="2" t="s">
        <v>80</v>
      </c>
      <c r="F315" s="17">
        <v>15.57</v>
      </c>
      <c r="G315" s="17">
        <v>0</v>
      </c>
      <c r="H315" s="18">
        <f>F315-G315</f>
        <v>15.57</v>
      </c>
      <c r="I315" s="18">
        <f>I314+H315</f>
        <v>1736.28</v>
      </c>
      <c r="J315" s="17">
        <v>0</v>
      </c>
      <c r="K315" s="19" t="s">
        <v>13</v>
      </c>
      <c r="L315" s="19" t="s">
        <v>13</v>
      </c>
    </row>
    <row r="316" spans="1:12" outlineLevel="1">
      <c r="A316" s="1">
        <v>1101</v>
      </c>
      <c r="B316" s="2" t="s">
        <v>162</v>
      </c>
      <c r="C316" s="3">
        <v>46003</v>
      </c>
      <c r="D316" s="2" t="s">
        <v>80</v>
      </c>
      <c r="F316" s="17">
        <v>135</v>
      </c>
      <c r="G316" s="17">
        <v>0</v>
      </c>
      <c r="H316" s="18">
        <f>F316-G316</f>
        <v>135</v>
      </c>
      <c r="I316" s="18">
        <f>I315+H316</f>
        <v>1871.28</v>
      </c>
      <c r="J316" s="17">
        <v>0</v>
      </c>
      <c r="K316" s="19" t="s">
        <v>13</v>
      </c>
      <c r="L316" s="19" t="s">
        <v>13</v>
      </c>
    </row>
    <row r="317" spans="1:12" outlineLevel="1">
      <c r="A317" s="1">
        <v>1101</v>
      </c>
      <c r="B317" s="2" t="s">
        <v>162</v>
      </c>
      <c r="C317" s="3">
        <v>46003</v>
      </c>
      <c r="D317" s="2" t="s">
        <v>81</v>
      </c>
      <c r="F317" s="17">
        <v>22.2</v>
      </c>
      <c r="G317" s="17">
        <v>0</v>
      </c>
      <c r="H317" s="18">
        <f>F317-G317</f>
        <v>22.2</v>
      </c>
      <c r="I317" s="18">
        <f>I316+H317</f>
        <v>1893.48</v>
      </c>
      <c r="J317" s="17">
        <v>0</v>
      </c>
      <c r="K317" s="19" t="s">
        <v>13</v>
      </c>
      <c r="L317" s="19" t="s">
        <v>13</v>
      </c>
    </row>
    <row r="318" spans="1:12" outlineLevel="1">
      <c r="A318" s="1">
        <v>1600</v>
      </c>
      <c r="B318" s="2" t="s">
        <v>20</v>
      </c>
      <c r="C318" s="3">
        <v>46003</v>
      </c>
      <c r="D318" s="2" t="s">
        <v>150</v>
      </c>
      <c r="E318" s="2">
        <v>20251212</v>
      </c>
      <c r="F318" s="17">
        <v>61.65</v>
      </c>
      <c r="G318" s="17">
        <v>0</v>
      </c>
      <c r="H318" s="18">
        <f>F318-G318</f>
        <v>61.65</v>
      </c>
      <c r="I318" s="18">
        <f>I317+H318</f>
        <v>1955.13</v>
      </c>
      <c r="J318" s="17">
        <v>0</v>
      </c>
      <c r="K318" s="19" t="s">
        <v>13</v>
      </c>
      <c r="L318" s="19" t="s">
        <v>13</v>
      </c>
    </row>
    <row r="319" spans="1:12" outlineLevel="1">
      <c r="A319" s="1">
        <v>1600</v>
      </c>
      <c r="B319" s="2" t="s">
        <v>20</v>
      </c>
      <c r="C319" s="3">
        <v>46004</v>
      </c>
      <c r="D319" s="2" t="s">
        <v>151</v>
      </c>
      <c r="E319" s="2">
        <v>4478887780</v>
      </c>
      <c r="F319" s="17">
        <v>834</v>
      </c>
      <c r="G319" s="17">
        <v>0</v>
      </c>
      <c r="H319" s="18">
        <f>F319-G319</f>
        <v>834</v>
      </c>
      <c r="I319" s="18">
        <f>I318+H319</f>
        <v>2789.13</v>
      </c>
      <c r="J319" s="17">
        <v>0</v>
      </c>
      <c r="K319" s="19" t="s">
        <v>13</v>
      </c>
      <c r="L319" s="19" t="s">
        <v>13</v>
      </c>
    </row>
    <row r="320" spans="1:12" outlineLevel="1">
      <c r="A320" s="1">
        <v>1600</v>
      </c>
      <c r="B320" s="2" t="s">
        <v>20</v>
      </c>
      <c r="C320" s="3">
        <v>46008</v>
      </c>
      <c r="D320" s="2" t="s">
        <v>152</v>
      </c>
      <c r="E320" s="2">
        <v>20251217</v>
      </c>
      <c r="F320" s="17">
        <v>45</v>
      </c>
      <c r="G320" s="17">
        <v>0</v>
      </c>
      <c r="H320" s="18">
        <f>F320-G320</f>
        <v>45</v>
      </c>
      <c r="I320" s="18">
        <f>I319+H320</f>
        <v>2834.13</v>
      </c>
      <c r="J320" s="17">
        <v>0</v>
      </c>
      <c r="K320" s="19" t="s">
        <v>13</v>
      </c>
      <c r="L320" s="19" t="s">
        <v>13</v>
      </c>
    </row>
    <row r="321" spans="1:12" outlineLevel="1">
      <c r="A321" s="1">
        <v>1101</v>
      </c>
      <c r="B321" s="2" t="s">
        <v>162</v>
      </c>
      <c r="C321" s="3" t="s">
        <v>173</v>
      </c>
      <c r="D321" s="2" t="s">
        <v>174</v>
      </c>
      <c r="F321" s="17">
        <v>4785</v>
      </c>
      <c r="G321" s="17">
        <v>0</v>
      </c>
      <c r="H321" s="18">
        <f>F321-G321</f>
        <v>4785</v>
      </c>
      <c r="I321" s="18">
        <f>I320+H321</f>
        <v>7619.13</v>
      </c>
      <c r="J321" s="17">
        <v>21</v>
      </c>
      <c r="K321" s="19" t="s">
        <v>13</v>
      </c>
      <c r="L321" s="19" t="s">
        <v>13</v>
      </c>
    </row>
    <row r="322" spans="1:12" outlineLevel="1">
      <c r="A322" s="1">
        <v>1101</v>
      </c>
      <c r="B322" s="2" t="s">
        <v>162</v>
      </c>
      <c r="C322" s="3" t="s">
        <v>175</v>
      </c>
      <c r="D322" s="2" t="s">
        <v>176</v>
      </c>
      <c r="F322" s="17">
        <v>6340</v>
      </c>
      <c r="G322" s="17">
        <v>0</v>
      </c>
      <c r="H322" s="18">
        <f>F322-G322</f>
        <v>6340</v>
      </c>
      <c r="I322" s="18">
        <f>I321+H322</f>
        <v>13959.130000000001</v>
      </c>
      <c r="J322" s="17">
        <v>21</v>
      </c>
      <c r="K322" s="19" t="s">
        <v>13</v>
      </c>
      <c r="L322" s="19" t="s">
        <v>13</v>
      </c>
    </row>
    <row r="323" spans="1:12" outlineLevel="1">
      <c r="A323" s="1">
        <v>1101</v>
      </c>
      <c r="B323" s="2" t="s">
        <v>162</v>
      </c>
      <c r="C323" s="3" t="s">
        <v>177</v>
      </c>
      <c r="D323" s="2" t="s">
        <v>178</v>
      </c>
      <c r="F323" s="17">
        <v>2190</v>
      </c>
      <c r="G323" s="17">
        <v>0</v>
      </c>
      <c r="H323" s="18">
        <f>F323-G323</f>
        <v>2190</v>
      </c>
      <c r="I323" s="18">
        <f>I322+H323</f>
        <v>16149.130000000001</v>
      </c>
      <c r="J323" s="17">
        <v>21</v>
      </c>
      <c r="K323" s="19" t="s">
        <v>13</v>
      </c>
      <c r="L323" s="19" t="s">
        <v>13</v>
      </c>
    </row>
    <row r="324" spans="1:12" outlineLevel="1">
      <c r="A324" s="1">
        <v>1101</v>
      </c>
      <c r="B324" s="2" t="s">
        <v>162</v>
      </c>
      <c r="C324" s="3" t="s">
        <v>179</v>
      </c>
      <c r="D324" s="2" t="s">
        <v>180</v>
      </c>
      <c r="F324" s="17">
        <v>3425</v>
      </c>
      <c r="G324" s="17">
        <v>0</v>
      </c>
      <c r="H324" s="18">
        <f>F324-G324</f>
        <v>3425</v>
      </c>
      <c r="I324" s="18">
        <f>I323+H324</f>
        <v>19574.13</v>
      </c>
      <c r="J324" s="17">
        <v>21</v>
      </c>
      <c r="K324" s="19" t="s">
        <v>13</v>
      </c>
      <c r="L324" s="19" t="s">
        <v>13</v>
      </c>
    </row>
    <row r="325" spans="1:12" outlineLevel="1">
      <c r="A325" s="20"/>
      <c r="B325" s="20"/>
      <c r="C325" s="20"/>
      <c r="D325" s="20"/>
      <c r="E325" s="20"/>
      <c r="F325" s="21">
        <f>SUBTOTAL(9,F307:F324)</f>
        <v>19574.13</v>
      </c>
      <c r="G325" s="21">
        <f>SUBTOTAL(9,G307:G324)</f>
        <v>0</v>
      </c>
      <c r="H325" s="21">
        <f>F325-G325</f>
        <v>19574.13</v>
      </c>
      <c r="I325" s="20"/>
      <c r="J325" s="20"/>
      <c r="K325" s="20"/>
      <c r="L325" s="20"/>
    </row>
    <row r="326" spans="1:12">
      <c r="A326" s="12" t="s">
        <v>41</v>
      </c>
      <c r="B326" s="13"/>
      <c r="C326" s="14"/>
      <c r="D326" s="13"/>
      <c r="E326" s="13"/>
      <c r="F326" s="15"/>
      <c r="G326" s="15"/>
      <c r="H326" s="16"/>
      <c r="I326" s="16"/>
      <c r="J326" s="15"/>
      <c r="K326" s="13"/>
      <c r="L326" s="13"/>
    </row>
    <row r="327" spans="1:12" outlineLevel="1">
      <c r="A327" s="1">
        <v>1600</v>
      </c>
      <c r="B327" s="2" t="s">
        <v>20</v>
      </c>
      <c r="C327" s="3">
        <v>45993</v>
      </c>
      <c r="D327" s="2" t="s">
        <v>153</v>
      </c>
      <c r="E327" s="2">
        <v>50314162</v>
      </c>
      <c r="F327" s="17">
        <v>450</v>
      </c>
      <c r="G327" s="17">
        <v>0</v>
      </c>
      <c r="H327" s="18">
        <f>F327-G327</f>
        <v>450</v>
      </c>
      <c r="I327" s="18">
        <f>H327</f>
        <v>450</v>
      </c>
      <c r="J327" s="17">
        <v>0</v>
      </c>
      <c r="K327" s="19" t="s">
        <v>13</v>
      </c>
      <c r="L327" s="19" t="s">
        <v>13</v>
      </c>
    </row>
    <row r="328" spans="1:12" outlineLevel="1">
      <c r="A328" s="20"/>
      <c r="B328" s="20"/>
      <c r="C328" s="20"/>
      <c r="D328" s="20"/>
      <c r="E328" s="20"/>
      <c r="F328" s="21">
        <f>SUBTOTAL(9,F327:F327)</f>
        <v>450</v>
      </c>
      <c r="G328" s="21">
        <f>SUBTOTAL(9,G327:G327)</f>
        <v>0</v>
      </c>
      <c r="H328" s="21">
        <f>F328-G328</f>
        <v>450</v>
      </c>
      <c r="I328" s="20"/>
      <c r="J328" s="20"/>
      <c r="K328" s="20"/>
      <c r="L328" s="20"/>
    </row>
    <row r="329" spans="1:12">
      <c r="A329" s="12" t="s">
        <v>42</v>
      </c>
      <c r="B329" s="13"/>
      <c r="C329" s="14"/>
      <c r="D329" s="13"/>
      <c r="E329" s="13"/>
      <c r="F329" s="15"/>
      <c r="G329" s="15"/>
      <c r="H329" s="16"/>
      <c r="I329" s="16"/>
      <c r="J329" s="15"/>
      <c r="K329" s="13"/>
      <c r="L329" s="13"/>
    </row>
    <row r="330" spans="1:12" outlineLevel="1">
      <c r="A330" s="1">
        <v>1600</v>
      </c>
      <c r="B330" s="2" t="s">
        <v>20</v>
      </c>
      <c r="C330" s="3">
        <v>45944</v>
      </c>
      <c r="D330" s="2" t="s">
        <v>154</v>
      </c>
      <c r="E330" s="2" t="s">
        <v>108</v>
      </c>
      <c r="F330" s="17">
        <v>1650</v>
      </c>
      <c r="G330" s="17">
        <v>0</v>
      </c>
      <c r="H330" s="18">
        <f>F330-G330</f>
        <v>1650</v>
      </c>
      <c r="I330" s="18">
        <f>H330</f>
        <v>1650</v>
      </c>
      <c r="J330" s="17">
        <v>0</v>
      </c>
      <c r="K330" s="19" t="s">
        <v>13</v>
      </c>
      <c r="L330" s="19" t="s">
        <v>13</v>
      </c>
    </row>
    <row r="331" spans="1:12" outlineLevel="1">
      <c r="A331" s="20"/>
      <c r="B331" s="20"/>
      <c r="C331" s="20"/>
      <c r="D331" s="20"/>
      <c r="E331" s="20"/>
      <c r="F331" s="21">
        <f>SUBTOTAL(9,F330:F330)</f>
        <v>1650</v>
      </c>
      <c r="G331" s="21">
        <f>SUBTOTAL(9,G330:G330)</f>
        <v>0</v>
      </c>
      <c r="H331" s="21">
        <f>F331-G331</f>
        <v>1650</v>
      </c>
      <c r="I331" s="20"/>
      <c r="J331" s="20"/>
      <c r="K331" s="20"/>
      <c r="L331" s="20"/>
    </row>
    <row r="332" spans="1:12">
      <c r="A332" s="12" t="s">
        <v>43</v>
      </c>
      <c r="B332" s="13"/>
      <c r="C332" s="14"/>
      <c r="D332" s="13"/>
      <c r="E332" s="13"/>
      <c r="F332" s="15"/>
      <c r="G332" s="15"/>
      <c r="H332" s="16"/>
      <c r="I332" s="16"/>
      <c r="J332" s="15"/>
      <c r="K332" s="13"/>
      <c r="L332" s="13"/>
    </row>
    <row r="333" spans="1:12" outlineLevel="1">
      <c r="A333" s="1">
        <v>1600</v>
      </c>
      <c r="B333" s="2" t="s">
        <v>20</v>
      </c>
      <c r="C333" s="3">
        <v>46018</v>
      </c>
      <c r="D333" s="2" t="s">
        <v>155</v>
      </c>
      <c r="E333" s="2">
        <v>20251227</v>
      </c>
      <c r="F333" s="17">
        <v>124.8</v>
      </c>
      <c r="G333" s="17">
        <v>0</v>
      </c>
      <c r="H333" s="18">
        <f>F333-G333</f>
        <v>124.8</v>
      </c>
      <c r="I333" s="18">
        <f>H333</f>
        <v>124.8</v>
      </c>
      <c r="J333" s="17">
        <v>9</v>
      </c>
      <c r="K333" s="19" t="s">
        <v>13</v>
      </c>
      <c r="L333" s="19" t="s">
        <v>13</v>
      </c>
    </row>
    <row r="334" spans="1:12" outlineLevel="1">
      <c r="A334" s="20"/>
      <c r="B334" s="20"/>
      <c r="C334" s="20"/>
      <c r="D334" s="20"/>
      <c r="E334" s="20"/>
      <c r="F334" s="21">
        <f>SUBTOTAL(9,F333:F333)</f>
        <v>124.8</v>
      </c>
      <c r="G334" s="21">
        <f>SUBTOTAL(9,G333:G333)</f>
        <v>0</v>
      </c>
      <c r="H334" s="21">
        <f>F334-G334</f>
        <v>124.8</v>
      </c>
      <c r="I334" s="20"/>
      <c r="J334" s="20"/>
      <c r="K334" s="20"/>
      <c r="L334" s="20"/>
    </row>
    <row r="335" spans="1:12">
      <c r="A335" s="12" t="s">
        <v>182</v>
      </c>
      <c r="B335" s="13"/>
      <c r="C335" s="14"/>
      <c r="D335" s="13"/>
      <c r="E335" s="13"/>
      <c r="F335" s="15"/>
      <c r="G335" s="15"/>
      <c r="H335" s="16"/>
      <c r="I335" s="16"/>
      <c r="J335" s="15"/>
      <c r="K335" s="13"/>
      <c r="L335" s="13"/>
    </row>
    <row r="336" spans="1:12" outlineLevel="1">
      <c r="A336" s="1">
        <v>1101</v>
      </c>
      <c r="B336" s="2" t="s">
        <v>162</v>
      </c>
      <c r="C336" s="3">
        <v>45959</v>
      </c>
      <c r="D336" s="2" t="s">
        <v>63</v>
      </c>
      <c r="F336" s="17">
        <v>94.5</v>
      </c>
      <c r="G336" s="17">
        <v>0</v>
      </c>
      <c r="H336" s="18">
        <f>F336-G336</f>
        <v>94.5</v>
      </c>
      <c r="I336" s="18">
        <f>H336</f>
        <v>94.5</v>
      </c>
      <c r="J336" s="17">
        <v>0</v>
      </c>
      <c r="K336" s="19" t="s">
        <v>13</v>
      </c>
      <c r="L336" s="19" t="s">
        <v>13</v>
      </c>
    </row>
    <row r="337" spans="1:12" outlineLevel="1">
      <c r="A337" s="1">
        <v>1101</v>
      </c>
      <c r="B337" s="2" t="s">
        <v>162</v>
      </c>
      <c r="C337" s="3">
        <v>45982</v>
      </c>
      <c r="D337" s="2" t="s">
        <v>63</v>
      </c>
      <c r="F337" s="17">
        <v>94.5</v>
      </c>
      <c r="G337" s="17">
        <v>0</v>
      </c>
      <c r="H337" s="18">
        <f>F337-G337</f>
        <v>94.5</v>
      </c>
      <c r="I337" s="18">
        <f>I336+H337</f>
        <v>189</v>
      </c>
      <c r="J337" s="17">
        <v>0</v>
      </c>
      <c r="K337" s="19" t="s">
        <v>13</v>
      </c>
      <c r="L337" s="19" t="s">
        <v>13</v>
      </c>
    </row>
    <row r="338" spans="1:12" outlineLevel="1">
      <c r="A338" s="1">
        <v>1101</v>
      </c>
      <c r="B338" s="2" t="s">
        <v>162</v>
      </c>
      <c r="C338" s="3">
        <v>45991</v>
      </c>
      <c r="D338" s="2" t="s">
        <v>63</v>
      </c>
      <c r="F338" s="17">
        <v>57</v>
      </c>
      <c r="G338" s="17">
        <v>0</v>
      </c>
      <c r="H338" s="18">
        <f>F338-G338</f>
        <v>57</v>
      </c>
      <c r="I338" s="18">
        <f>I337+H338</f>
        <v>246</v>
      </c>
      <c r="J338" s="17">
        <v>0</v>
      </c>
      <c r="K338" s="19" t="s">
        <v>13</v>
      </c>
      <c r="L338" s="19" t="s">
        <v>13</v>
      </c>
    </row>
    <row r="339" spans="1:12" outlineLevel="1">
      <c r="A339" s="20"/>
      <c r="B339" s="20"/>
      <c r="C339" s="20"/>
      <c r="D339" s="20"/>
      <c r="E339" s="20"/>
      <c r="F339" s="21">
        <f>SUBTOTAL(9,F336:F338)</f>
        <v>246</v>
      </c>
      <c r="G339" s="21">
        <f>SUBTOTAL(9,G336:G338)</f>
        <v>0</v>
      </c>
      <c r="H339" s="21">
        <f>F339-G339</f>
        <v>246</v>
      </c>
      <c r="I339" s="20"/>
      <c r="J339" s="20"/>
      <c r="K339" s="20"/>
      <c r="L339" s="20"/>
    </row>
    <row r="340" spans="1:12">
      <c r="A340" s="12" t="s">
        <v>172</v>
      </c>
      <c r="B340" s="13"/>
      <c r="C340" s="14"/>
      <c r="D340" s="13"/>
      <c r="E340" s="13"/>
      <c r="F340" s="15"/>
      <c r="G340" s="15"/>
      <c r="H340" s="16"/>
      <c r="I340" s="16"/>
      <c r="J340" s="15"/>
      <c r="K340" s="13"/>
      <c r="L340" s="13"/>
    </row>
    <row r="341" spans="1:12" outlineLevel="1">
      <c r="A341" s="1">
        <v>1600</v>
      </c>
      <c r="B341" s="2" t="s">
        <v>20</v>
      </c>
      <c r="C341" s="3">
        <v>45915</v>
      </c>
      <c r="D341" s="2" t="s">
        <v>156</v>
      </c>
      <c r="E341" s="2" t="s">
        <v>106</v>
      </c>
      <c r="F341" s="17">
        <v>731.25</v>
      </c>
      <c r="G341" s="17">
        <v>0</v>
      </c>
      <c r="H341" s="18">
        <f>F341-G341</f>
        <v>731.25</v>
      </c>
      <c r="I341" s="18">
        <f>H341</f>
        <v>731.25</v>
      </c>
      <c r="J341" s="17">
        <v>21</v>
      </c>
      <c r="K341" s="19" t="s">
        <v>13</v>
      </c>
      <c r="L341" s="19" t="s">
        <v>13</v>
      </c>
    </row>
    <row r="342" spans="1:12" outlineLevel="1">
      <c r="A342" s="1">
        <v>1600</v>
      </c>
      <c r="B342" s="2" t="s">
        <v>20</v>
      </c>
      <c r="C342" s="3">
        <v>45945</v>
      </c>
      <c r="D342" s="2" t="s">
        <v>157</v>
      </c>
      <c r="E342" s="2" t="s">
        <v>109</v>
      </c>
      <c r="F342" s="17">
        <v>731.25</v>
      </c>
      <c r="G342" s="17">
        <v>0</v>
      </c>
      <c r="H342" s="18">
        <f>F342-G342</f>
        <v>731.25</v>
      </c>
      <c r="I342" s="18">
        <f>I341+H342</f>
        <v>1462.5</v>
      </c>
      <c r="J342" s="17">
        <v>21</v>
      </c>
      <c r="K342" s="19" t="s">
        <v>13</v>
      </c>
      <c r="L342" s="19" t="s">
        <v>13</v>
      </c>
    </row>
    <row r="343" spans="1:12" outlineLevel="1">
      <c r="A343" s="1">
        <v>1600</v>
      </c>
      <c r="B343" s="2" t="s">
        <v>20</v>
      </c>
      <c r="C343" s="3">
        <v>45976</v>
      </c>
      <c r="D343" s="2" t="s">
        <v>158</v>
      </c>
      <c r="E343" s="2" t="s">
        <v>111</v>
      </c>
      <c r="F343" s="17">
        <v>731.25</v>
      </c>
      <c r="G343" s="17">
        <v>0</v>
      </c>
      <c r="H343" s="18">
        <f>F343-G343</f>
        <v>731.25</v>
      </c>
      <c r="I343" s="18">
        <f>I342+H343</f>
        <v>2193.75</v>
      </c>
      <c r="J343" s="17">
        <v>21</v>
      </c>
      <c r="K343" s="19" t="s">
        <v>13</v>
      </c>
      <c r="L343" s="19" t="s">
        <v>13</v>
      </c>
    </row>
    <row r="344" spans="1:12" outlineLevel="1">
      <c r="A344" s="1">
        <v>1600</v>
      </c>
      <c r="B344" s="2" t="s">
        <v>20</v>
      </c>
      <c r="C344" s="3">
        <v>46006</v>
      </c>
      <c r="D344" s="2" t="s">
        <v>159</v>
      </c>
      <c r="E344" s="2" t="s">
        <v>120</v>
      </c>
      <c r="F344" s="17">
        <v>731.25</v>
      </c>
      <c r="G344" s="17">
        <v>0</v>
      </c>
      <c r="H344" s="18">
        <f>F344-G344</f>
        <v>731.25</v>
      </c>
      <c r="I344" s="18">
        <f>I343+H344</f>
        <v>2925</v>
      </c>
      <c r="J344" s="17">
        <v>21</v>
      </c>
      <c r="K344" s="19" t="s">
        <v>13</v>
      </c>
      <c r="L344" s="19" t="s">
        <v>13</v>
      </c>
    </row>
    <row r="345" spans="1:12" outlineLevel="1">
      <c r="A345" s="1">
        <v>1600</v>
      </c>
      <c r="B345" s="2" t="s">
        <v>20</v>
      </c>
      <c r="C345" s="3" t="s">
        <v>163</v>
      </c>
      <c r="D345" s="2" t="s">
        <v>164</v>
      </c>
      <c r="E345" s="2" t="s">
        <v>165</v>
      </c>
      <c r="F345" s="17">
        <v>18150</v>
      </c>
      <c r="G345" s="17">
        <v>0</v>
      </c>
      <c r="H345" s="18">
        <f>F345-G345</f>
        <v>18150</v>
      </c>
      <c r="I345" s="18">
        <f>I344+H345</f>
        <v>21075</v>
      </c>
      <c r="J345" s="17"/>
      <c r="K345" s="19" t="s">
        <v>13</v>
      </c>
      <c r="L345" s="19" t="s">
        <v>13</v>
      </c>
    </row>
    <row r="346" spans="1:12" outlineLevel="1">
      <c r="A346" s="1">
        <v>1600</v>
      </c>
      <c r="B346" s="2" t="s">
        <v>20</v>
      </c>
      <c r="C346" s="3" t="s">
        <v>167</v>
      </c>
      <c r="D346" s="2" t="s">
        <v>164</v>
      </c>
      <c r="E346" s="2" t="s">
        <v>168</v>
      </c>
      <c r="F346" s="17">
        <v>21780</v>
      </c>
      <c r="G346" s="17">
        <v>0</v>
      </c>
      <c r="H346" s="18">
        <f>F346-G346</f>
        <v>21780</v>
      </c>
      <c r="I346" s="18">
        <f>I345+H346</f>
        <v>42855</v>
      </c>
      <c r="J346" s="17"/>
      <c r="K346" s="19" t="s">
        <v>13</v>
      </c>
      <c r="L346" s="19" t="s">
        <v>13</v>
      </c>
    </row>
    <row r="347" spans="1:12" outlineLevel="1">
      <c r="A347" s="1">
        <v>1600</v>
      </c>
      <c r="B347" s="2" t="s">
        <v>20</v>
      </c>
      <c r="C347" s="3" t="s">
        <v>169</v>
      </c>
      <c r="D347" s="2" t="s">
        <v>164</v>
      </c>
      <c r="E347" s="2" t="s">
        <v>170</v>
      </c>
      <c r="F347" s="17">
        <v>24200</v>
      </c>
      <c r="G347" s="17">
        <v>0</v>
      </c>
      <c r="H347" s="18">
        <f>F347-G347</f>
        <v>24200</v>
      </c>
      <c r="I347" s="18">
        <f>I346+H347</f>
        <v>67055</v>
      </c>
      <c r="J347" s="17"/>
      <c r="K347" s="19" t="s">
        <v>13</v>
      </c>
      <c r="L347" s="19" t="s">
        <v>13</v>
      </c>
    </row>
    <row r="348" spans="1:12" outlineLevel="1">
      <c r="A348" s="20"/>
      <c r="B348" s="20"/>
      <c r="C348" s="20"/>
      <c r="D348" s="20"/>
      <c r="E348" s="20"/>
      <c r="F348" s="21">
        <f>SUBTOTAL(9,F341:F347)</f>
        <v>67055</v>
      </c>
      <c r="G348" s="21">
        <f>SUBTOTAL(9,G341:G347)</f>
        <v>0</v>
      </c>
      <c r="H348" s="21">
        <f>F348-G348</f>
        <v>67055</v>
      </c>
      <c r="I348" s="20"/>
      <c r="J348" s="20"/>
      <c r="K348" s="20"/>
      <c r="L348" s="20"/>
    </row>
    <row r="349" spans="1:12">
      <c r="A349" s="12" t="s">
        <v>44</v>
      </c>
      <c r="B349" s="13"/>
      <c r="C349" s="14"/>
      <c r="D349" s="13"/>
      <c r="E349" s="13"/>
      <c r="F349" s="15"/>
      <c r="G349" s="15"/>
      <c r="H349" s="16"/>
      <c r="I349" s="16"/>
      <c r="J349" s="15"/>
      <c r="K349" s="13"/>
      <c r="L349" s="13"/>
    </row>
    <row r="350" spans="1:12" outlineLevel="1">
      <c r="A350" s="1">
        <v>1600</v>
      </c>
      <c r="B350" s="2" t="s">
        <v>20</v>
      </c>
      <c r="C350" s="3">
        <v>46000</v>
      </c>
      <c r="D350" s="2" t="s">
        <v>160</v>
      </c>
      <c r="E350" s="2">
        <v>2025113</v>
      </c>
      <c r="F350" s="17">
        <v>18000</v>
      </c>
      <c r="G350" s="17">
        <v>0</v>
      </c>
      <c r="H350" s="18">
        <f>F350-G350</f>
        <v>18000</v>
      </c>
      <c r="I350" s="18">
        <f>H350</f>
        <v>18000</v>
      </c>
      <c r="J350" s="17">
        <v>21</v>
      </c>
      <c r="K350" s="19" t="s">
        <v>13</v>
      </c>
      <c r="L350" s="19" t="s">
        <v>13</v>
      </c>
    </row>
    <row r="351" spans="1:12" outlineLevel="1">
      <c r="A351" s="1">
        <v>1600</v>
      </c>
      <c r="B351" s="2" t="s">
        <v>20</v>
      </c>
      <c r="C351" s="3">
        <v>46000</v>
      </c>
      <c r="D351" s="2" t="s">
        <v>161</v>
      </c>
      <c r="E351" s="2">
        <v>2025114</v>
      </c>
      <c r="F351" s="17">
        <v>18000</v>
      </c>
      <c r="G351" s="17">
        <v>0</v>
      </c>
      <c r="H351" s="18">
        <f>F351-G351</f>
        <v>18000</v>
      </c>
      <c r="I351" s="18">
        <f>I350+H351</f>
        <v>36000</v>
      </c>
      <c r="J351" s="17">
        <v>21</v>
      </c>
      <c r="K351" s="19" t="s">
        <v>13</v>
      </c>
      <c r="L351" s="19" t="s">
        <v>13</v>
      </c>
    </row>
    <row r="352" spans="1:12" outlineLevel="1">
      <c r="A352" s="20"/>
      <c r="B352" s="20"/>
      <c r="C352" s="20"/>
      <c r="D352" s="20"/>
      <c r="E352" s="20"/>
      <c r="F352" s="21">
        <f>SUBTOTAL(9,F350:F351)</f>
        <v>36000</v>
      </c>
      <c r="G352" s="21">
        <f>SUBTOTAL(9,G350:G351)</f>
        <v>0</v>
      </c>
      <c r="H352" s="21">
        <f>F352-G352</f>
        <v>36000</v>
      </c>
      <c r="I352" s="20"/>
      <c r="J352" s="20"/>
      <c r="K352" s="20"/>
      <c r="L352" s="20"/>
    </row>
    <row r="353" spans="1:12">
      <c r="A353" s="12" t="s">
        <v>45</v>
      </c>
      <c r="B353" s="13"/>
      <c r="C353" s="14"/>
      <c r="D353" s="13"/>
      <c r="E353" s="13"/>
      <c r="F353" s="15"/>
      <c r="G353" s="15"/>
      <c r="H353" s="16"/>
      <c r="I353" s="16"/>
      <c r="J353" s="15"/>
      <c r="K353" s="13"/>
      <c r="L353" s="13"/>
    </row>
    <row r="354" spans="1:12" outlineLevel="1">
      <c r="A354" s="1">
        <v>2011</v>
      </c>
      <c r="B354" s="2" t="s">
        <v>15</v>
      </c>
      <c r="C354" s="3">
        <v>46022</v>
      </c>
      <c r="D354" s="2" t="s">
        <v>25</v>
      </c>
      <c r="F354" s="17">
        <v>0.56999999999999995</v>
      </c>
      <c r="G354" s="17">
        <v>0</v>
      </c>
      <c r="H354" s="18">
        <f>F354-G354</f>
        <v>0.56999999999999995</v>
      </c>
      <c r="I354" s="18">
        <f>H354</f>
        <v>0.56999999999999995</v>
      </c>
      <c r="J354" s="17">
        <v>0</v>
      </c>
      <c r="K354" s="19" t="s">
        <v>18</v>
      </c>
      <c r="L354" s="19" t="s">
        <v>13</v>
      </c>
    </row>
    <row r="355" spans="1:12" outlineLevel="1">
      <c r="A355" s="20"/>
      <c r="B355" s="20"/>
      <c r="C355" s="20"/>
      <c r="D355" s="20"/>
      <c r="E355" s="20"/>
      <c r="F355" s="21">
        <f>SUBTOTAL(9,F354:F354)</f>
        <v>0.56999999999999995</v>
      </c>
      <c r="G355" s="21">
        <f>SUBTOTAL(9,G354:G354)</f>
        <v>0</v>
      </c>
      <c r="H355" s="21">
        <f>F355-G355</f>
        <v>0.56999999999999995</v>
      </c>
      <c r="I355" s="20"/>
      <c r="J355" s="20"/>
      <c r="K355" s="20"/>
      <c r="L355" s="20"/>
    </row>
    <row r="356" spans="1:12">
      <c r="A356" s="12" t="s">
        <v>46</v>
      </c>
      <c r="B356" s="13"/>
      <c r="C356" s="14"/>
      <c r="D356" s="13"/>
      <c r="E356" s="13"/>
      <c r="F356" s="15"/>
      <c r="G356" s="15"/>
      <c r="H356" s="16"/>
      <c r="I356" s="16"/>
      <c r="J356" s="15"/>
      <c r="K356" s="13"/>
      <c r="L356" s="13"/>
    </row>
    <row r="357" spans="1:12" outlineLevel="1">
      <c r="A357" s="1">
        <v>1300</v>
      </c>
      <c r="B357" s="2" t="s">
        <v>19</v>
      </c>
      <c r="C357" s="3">
        <v>45923</v>
      </c>
      <c r="D357" s="2" t="s">
        <v>59</v>
      </c>
      <c r="E357" s="2">
        <v>20258020</v>
      </c>
      <c r="F357" s="17">
        <v>0</v>
      </c>
      <c r="G357" s="17">
        <v>11475</v>
      </c>
      <c r="H357" s="18">
        <f>F357-G357</f>
        <v>-11475</v>
      </c>
      <c r="I357" s="18">
        <f>H357</f>
        <v>-11475</v>
      </c>
      <c r="J357" s="17">
        <v>21</v>
      </c>
      <c r="K357" s="19" t="s">
        <v>13</v>
      </c>
      <c r="L357" s="19" t="s">
        <v>13</v>
      </c>
    </row>
    <row r="358" spans="1:12" outlineLevel="1">
      <c r="A358" s="1">
        <v>1300</v>
      </c>
      <c r="B358" s="2" t="s">
        <v>19</v>
      </c>
      <c r="C358" s="3">
        <v>45939</v>
      </c>
      <c r="D358" s="2" t="s">
        <v>59</v>
      </c>
      <c r="E358" s="2">
        <v>20258021</v>
      </c>
      <c r="F358" s="17">
        <v>0</v>
      </c>
      <c r="G358" s="17">
        <v>22312.5</v>
      </c>
      <c r="H358" s="18">
        <f>F358-G358</f>
        <v>-22312.5</v>
      </c>
      <c r="I358" s="18">
        <f>I357+H358</f>
        <v>-33787.5</v>
      </c>
      <c r="J358" s="17">
        <v>21</v>
      </c>
      <c r="K358" s="19" t="s">
        <v>13</v>
      </c>
      <c r="L358" s="19" t="s">
        <v>13</v>
      </c>
    </row>
    <row r="359" spans="1:12" outlineLevel="1">
      <c r="A359" s="1">
        <v>1300</v>
      </c>
      <c r="B359" s="2" t="s">
        <v>19</v>
      </c>
      <c r="C359" s="3">
        <v>45968</v>
      </c>
      <c r="D359" s="2" t="s">
        <v>59</v>
      </c>
      <c r="E359" s="2">
        <v>20258022</v>
      </c>
      <c r="F359" s="17">
        <v>0</v>
      </c>
      <c r="G359" s="17">
        <v>31875</v>
      </c>
      <c r="H359" s="18">
        <f>F359-G359</f>
        <v>-31875</v>
      </c>
      <c r="I359" s="18">
        <f>I358+H359</f>
        <v>-65662.5</v>
      </c>
      <c r="J359" s="17">
        <v>21</v>
      </c>
      <c r="K359" s="19" t="s">
        <v>13</v>
      </c>
      <c r="L359" s="19" t="s">
        <v>13</v>
      </c>
    </row>
    <row r="360" spans="1:12" outlineLevel="1">
      <c r="A360" s="1">
        <v>1300</v>
      </c>
      <c r="B360" s="2" t="s">
        <v>19</v>
      </c>
      <c r="C360" s="3">
        <v>45994</v>
      </c>
      <c r="D360" s="2" t="s">
        <v>99</v>
      </c>
      <c r="E360" s="2">
        <v>20258023</v>
      </c>
      <c r="F360" s="17">
        <v>0</v>
      </c>
      <c r="G360" s="17">
        <v>20997</v>
      </c>
      <c r="H360" s="18">
        <f>F360-G360</f>
        <v>-20997</v>
      </c>
      <c r="I360" s="18">
        <f>I359+H360</f>
        <v>-86659.5</v>
      </c>
      <c r="J360" s="17">
        <v>21</v>
      </c>
      <c r="K360" s="19" t="s">
        <v>13</v>
      </c>
      <c r="L360" s="19" t="s">
        <v>13</v>
      </c>
    </row>
    <row r="361" spans="1:12" outlineLevel="1">
      <c r="A361" s="1">
        <v>1300</v>
      </c>
      <c r="B361" s="2" t="s">
        <v>19</v>
      </c>
      <c r="C361" s="3">
        <v>45995</v>
      </c>
      <c r="D361" s="2" t="s">
        <v>100</v>
      </c>
      <c r="E361" s="2">
        <v>20258024</v>
      </c>
      <c r="F361" s="17">
        <v>0</v>
      </c>
      <c r="G361" s="17">
        <v>22809.75</v>
      </c>
      <c r="H361" s="18">
        <f>F361-G361</f>
        <v>-22809.75</v>
      </c>
      <c r="I361" s="18">
        <f>I360+H361</f>
        <v>-109469.25</v>
      </c>
      <c r="J361" s="17">
        <v>21</v>
      </c>
      <c r="K361" s="19" t="s">
        <v>13</v>
      </c>
      <c r="L361" s="19" t="s">
        <v>13</v>
      </c>
    </row>
    <row r="362" spans="1:12" outlineLevel="1">
      <c r="A362" s="1">
        <v>1300</v>
      </c>
      <c r="B362" s="2" t="s">
        <v>19</v>
      </c>
      <c r="C362" s="3">
        <v>46001</v>
      </c>
      <c r="D362" s="2" t="s">
        <v>101</v>
      </c>
      <c r="E362" s="2">
        <v>20258025</v>
      </c>
      <c r="F362" s="17">
        <v>0</v>
      </c>
      <c r="G362" s="17">
        <v>5985</v>
      </c>
      <c r="H362" s="18">
        <f>F362-G362</f>
        <v>-5985</v>
      </c>
      <c r="I362" s="18">
        <f>I361+H362</f>
        <v>-115454.25</v>
      </c>
      <c r="J362" s="17">
        <v>21</v>
      </c>
      <c r="K362" s="19" t="s">
        <v>13</v>
      </c>
      <c r="L362" s="19" t="s">
        <v>13</v>
      </c>
    </row>
    <row r="363" spans="1:12" outlineLevel="1">
      <c r="A363" s="1">
        <v>1300</v>
      </c>
      <c r="B363" s="2" t="s">
        <v>19</v>
      </c>
      <c r="C363" s="3">
        <v>46008</v>
      </c>
      <c r="D363" s="2" t="s">
        <v>102</v>
      </c>
      <c r="E363" s="2">
        <v>20258026</v>
      </c>
      <c r="F363" s="17">
        <v>0</v>
      </c>
      <c r="G363" s="17">
        <v>10500</v>
      </c>
      <c r="H363" s="18">
        <f>F363-G363</f>
        <v>-10500</v>
      </c>
      <c r="I363" s="18">
        <f>I362+H363</f>
        <v>-125954.25</v>
      </c>
      <c r="J363" s="17">
        <v>21</v>
      </c>
      <c r="K363" s="19" t="s">
        <v>13</v>
      </c>
      <c r="L363" s="19" t="s">
        <v>13</v>
      </c>
    </row>
    <row r="364" spans="1:12" outlineLevel="1">
      <c r="A364" s="1">
        <v>1300</v>
      </c>
      <c r="B364" s="2" t="s">
        <v>19</v>
      </c>
      <c r="C364" s="3">
        <v>46010</v>
      </c>
      <c r="D364" s="2" t="s">
        <v>103</v>
      </c>
      <c r="E364" s="2">
        <v>20258027</v>
      </c>
      <c r="F364" s="17">
        <v>0</v>
      </c>
      <c r="G364" s="17">
        <v>7497</v>
      </c>
      <c r="H364" s="18">
        <f>F364-G364</f>
        <v>-7497</v>
      </c>
      <c r="I364" s="18">
        <f>I363+H364</f>
        <v>-133451.25</v>
      </c>
      <c r="J364" s="17">
        <v>21</v>
      </c>
      <c r="K364" s="19" t="s">
        <v>13</v>
      </c>
      <c r="L364" s="19" t="s">
        <v>13</v>
      </c>
    </row>
    <row r="365" spans="1:12" outlineLevel="1">
      <c r="A365" s="1">
        <v>1300</v>
      </c>
      <c r="B365" s="2" t="s">
        <v>19</v>
      </c>
      <c r="C365" s="3">
        <v>46014</v>
      </c>
      <c r="D365" s="2" t="s">
        <v>104</v>
      </c>
      <c r="E365" s="2">
        <v>20258028</v>
      </c>
      <c r="F365" s="17">
        <v>0</v>
      </c>
      <c r="G365" s="17">
        <v>4050</v>
      </c>
      <c r="H365" s="18">
        <f>F365-G365</f>
        <v>-4050</v>
      </c>
      <c r="I365" s="18">
        <f>I364+H365</f>
        <v>-137501.25</v>
      </c>
      <c r="J365" s="17">
        <v>21</v>
      </c>
      <c r="K365" s="19" t="s">
        <v>13</v>
      </c>
      <c r="L365" s="19" t="s">
        <v>13</v>
      </c>
    </row>
    <row r="366" spans="1:12" outlineLevel="1">
      <c r="A366" s="1">
        <v>2011</v>
      </c>
      <c r="B366" s="2" t="s">
        <v>15</v>
      </c>
      <c r="C366" s="3">
        <v>46022</v>
      </c>
      <c r="D366" s="2" t="s">
        <v>131</v>
      </c>
      <c r="F366" s="17">
        <v>22809.75</v>
      </c>
      <c r="G366" s="17">
        <v>0</v>
      </c>
      <c r="H366" s="18">
        <f>F366-G366</f>
        <v>22809.75</v>
      </c>
      <c r="I366" s="18">
        <f>I365+H366</f>
        <v>-114691.5</v>
      </c>
      <c r="J366" s="17">
        <v>0</v>
      </c>
      <c r="K366" s="19" t="s">
        <v>13</v>
      </c>
      <c r="L366" s="19" t="s">
        <v>13</v>
      </c>
    </row>
    <row r="367" spans="1:12" outlineLevel="1">
      <c r="A367" s="1">
        <v>2011</v>
      </c>
      <c r="B367" s="2" t="s">
        <v>15</v>
      </c>
      <c r="C367" s="3">
        <v>46022</v>
      </c>
      <c r="D367" s="2" t="s">
        <v>132</v>
      </c>
      <c r="F367" s="17">
        <v>7497</v>
      </c>
      <c r="G367" s="17">
        <v>0</v>
      </c>
      <c r="H367" s="18">
        <f>F367-G367</f>
        <v>7497</v>
      </c>
      <c r="I367" s="18">
        <f>I366+H367</f>
        <v>-107194.5</v>
      </c>
      <c r="J367" s="17">
        <v>0</v>
      </c>
      <c r="K367" s="19" t="s">
        <v>13</v>
      </c>
      <c r="L367" s="19" t="s">
        <v>13</v>
      </c>
    </row>
    <row r="368" spans="1:12" outlineLevel="1">
      <c r="A368" s="20"/>
      <c r="B368" s="20"/>
      <c r="C368" s="20"/>
      <c r="D368" s="20"/>
      <c r="E368" s="20"/>
      <c r="F368" s="21">
        <f>SUBTOTAL(9,F357:F367)</f>
        <v>30306.75</v>
      </c>
      <c r="G368" s="21">
        <f>SUBTOTAL(9,G357:G367)</f>
        <v>137501.25</v>
      </c>
      <c r="H368" s="21">
        <f>F368-G368</f>
        <v>-107194.5</v>
      </c>
      <c r="I368" s="20"/>
      <c r="J368" s="20"/>
      <c r="K368" s="20"/>
      <c r="L368" s="20"/>
    </row>
    <row r="369" spans="1:12">
      <c r="A369" s="12" t="s">
        <v>47</v>
      </c>
      <c r="B369" s="13"/>
      <c r="C369" s="14"/>
      <c r="D369" s="13"/>
      <c r="E369" s="13"/>
      <c r="F369" s="15"/>
      <c r="G369" s="15"/>
      <c r="H369" s="16"/>
      <c r="I369" s="16"/>
      <c r="J369" s="15"/>
      <c r="K369" s="13"/>
      <c r="L369" s="13"/>
    </row>
    <row r="370" spans="1:12" outlineLevel="1">
      <c r="A370" s="1">
        <v>1101</v>
      </c>
      <c r="B370" s="2" t="s">
        <v>162</v>
      </c>
      <c r="C370" s="3">
        <v>45931</v>
      </c>
      <c r="D370" s="2" t="s">
        <v>58</v>
      </c>
      <c r="F370" s="17">
        <v>64.23</v>
      </c>
      <c r="G370" s="17">
        <v>0</v>
      </c>
      <c r="H370" s="18">
        <f>F370-G370</f>
        <v>64.23</v>
      </c>
      <c r="I370" s="18">
        <f>H370</f>
        <v>64.23</v>
      </c>
      <c r="J370" s="17">
        <v>0</v>
      </c>
      <c r="K370" s="19" t="s">
        <v>13</v>
      </c>
      <c r="L370" s="19" t="s">
        <v>13</v>
      </c>
    </row>
    <row r="371" spans="1:12" outlineLevel="1">
      <c r="A371" s="1">
        <v>1101</v>
      </c>
      <c r="B371" s="2" t="s">
        <v>162</v>
      </c>
      <c r="C371" s="3">
        <v>45962</v>
      </c>
      <c r="D371" s="2" t="s">
        <v>65</v>
      </c>
      <c r="F371" s="17">
        <v>66.84</v>
      </c>
      <c r="G371" s="17">
        <v>0</v>
      </c>
      <c r="H371" s="18">
        <f>F371-G371</f>
        <v>66.84</v>
      </c>
      <c r="I371" s="18">
        <f>I370+H371</f>
        <v>131.07</v>
      </c>
      <c r="J371" s="17">
        <v>0</v>
      </c>
      <c r="K371" s="19" t="s">
        <v>13</v>
      </c>
      <c r="L371" s="19" t="s">
        <v>13</v>
      </c>
    </row>
    <row r="372" spans="1:12" outlineLevel="1">
      <c r="A372" s="1">
        <v>1101</v>
      </c>
      <c r="B372" s="2" t="s">
        <v>162</v>
      </c>
      <c r="C372" s="3">
        <v>45966</v>
      </c>
      <c r="D372" s="2" t="s">
        <v>66</v>
      </c>
      <c r="F372" s="17">
        <v>0</v>
      </c>
      <c r="G372" s="17">
        <v>0.21</v>
      </c>
      <c r="H372" s="18">
        <f>F372-G372</f>
        <v>-0.21</v>
      </c>
      <c r="I372" s="18">
        <f>I371+H372</f>
        <v>130.85999999999999</v>
      </c>
      <c r="J372" s="17">
        <v>0</v>
      </c>
      <c r="K372" s="19" t="s">
        <v>13</v>
      </c>
      <c r="L372" s="19" t="s">
        <v>13</v>
      </c>
    </row>
    <row r="373" spans="1:12" outlineLevel="1">
      <c r="A373" s="1">
        <v>1101</v>
      </c>
      <c r="B373" s="2" t="s">
        <v>162</v>
      </c>
      <c r="C373" s="3">
        <v>45966</v>
      </c>
      <c r="D373" s="2" t="s">
        <v>66</v>
      </c>
      <c r="F373" s="17">
        <v>0</v>
      </c>
      <c r="G373" s="17">
        <v>0.24</v>
      </c>
      <c r="H373" s="18">
        <f>F373-G373</f>
        <v>-0.24</v>
      </c>
      <c r="I373" s="18">
        <f>I372+H373</f>
        <v>130.61999999999998</v>
      </c>
      <c r="J373" s="17">
        <v>0</v>
      </c>
      <c r="K373" s="19" t="s">
        <v>13</v>
      </c>
      <c r="L373" s="19" t="s">
        <v>13</v>
      </c>
    </row>
    <row r="374" spans="1:12" outlineLevel="1">
      <c r="A374" s="1">
        <v>1101</v>
      </c>
      <c r="B374" s="2" t="s">
        <v>162</v>
      </c>
      <c r="C374" s="3">
        <v>45992</v>
      </c>
      <c r="D374" s="2" t="s">
        <v>73</v>
      </c>
      <c r="F374" s="17">
        <v>68.55</v>
      </c>
      <c r="G374" s="17">
        <v>0</v>
      </c>
      <c r="H374" s="18">
        <f>F374-G374</f>
        <v>68.55</v>
      </c>
      <c r="I374" s="18">
        <f>I373+H374</f>
        <v>199.16999999999996</v>
      </c>
      <c r="J374" s="17">
        <v>0</v>
      </c>
      <c r="K374" s="19" t="s">
        <v>13</v>
      </c>
      <c r="L374" s="19" t="s">
        <v>13</v>
      </c>
    </row>
    <row r="375" spans="1:12" outlineLevel="1">
      <c r="A375" s="1">
        <v>2011</v>
      </c>
      <c r="B375" s="2" t="s">
        <v>15</v>
      </c>
      <c r="C375" s="3">
        <v>46022</v>
      </c>
      <c r="D375" s="2" t="s">
        <v>133</v>
      </c>
      <c r="F375" s="17">
        <v>75.239999999999995</v>
      </c>
      <c r="G375" s="17">
        <v>0</v>
      </c>
      <c r="H375" s="18">
        <f>F375-G375</f>
        <v>75.239999999999995</v>
      </c>
      <c r="I375" s="18">
        <f>I374+H375</f>
        <v>274.40999999999997</v>
      </c>
      <c r="J375" s="17">
        <v>0</v>
      </c>
      <c r="K375" s="19" t="s">
        <v>13</v>
      </c>
      <c r="L375" s="19" t="s">
        <v>13</v>
      </c>
    </row>
    <row r="376" spans="1:12" outlineLevel="1">
      <c r="A376" s="20"/>
      <c r="B376" s="20"/>
      <c r="C376" s="20"/>
      <c r="D376" s="20"/>
      <c r="E376" s="20"/>
      <c r="F376" s="21">
        <f>SUBTOTAL(9,F370:F375)</f>
        <v>274.86</v>
      </c>
      <c r="G376" s="21">
        <f>SUBTOTAL(9,G370:G375)</f>
        <v>0.44999999999999996</v>
      </c>
      <c r="H376" s="21">
        <f>F376-G376</f>
        <v>274.41000000000003</v>
      </c>
      <c r="I376" s="20"/>
      <c r="J376" s="20"/>
      <c r="K376" s="20"/>
      <c r="L376" s="20"/>
    </row>
    <row r="377" spans="1:12">
      <c r="A377" s="12" t="s">
        <v>48</v>
      </c>
      <c r="B377" s="13"/>
      <c r="C377" s="14"/>
      <c r="D377" s="13"/>
      <c r="E377" s="13"/>
      <c r="F377" s="15"/>
      <c r="G377" s="15"/>
      <c r="H377" s="16"/>
      <c r="I377" s="16"/>
      <c r="J377" s="15"/>
      <c r="K377" s="13"/>
      <c r="L377" s="13"/>
    </row>
    <row r="378" spans="1:12" outlineLevel="1">
      <c r="A378" s="1">
        <v>2011</v>
      </c>
      <c r="B378" s="2" t="s">
        <v>15</v>
      </c>
      <c r="C378" s="3">
        <v>46022</v>
      </c>
      <c r="D378" s="2" t="s">
        <v>23</v>
      </c>
      <c r="F378" s="17">
        <v>9495</v>
      </c>
      <c r="G378" s="17">
        <v>0</v>
      </c>
      <c r="H378" s="18">
        <f>F378-G378</f>
        <v>9495</v>
      </c>
      <c r="I378" s="18">
        <f>H378</f>
        <v>9495</v>
      </c>
      <c r="J378" s="17">
        <v>0</v>
      </c>
      <c r="K378" s="19" t="s">
        <v>13</v>
      </c>
      <c r="L378" s="19" t="s">
        <v>13</v>
      </c>
    </row>
    <row r="379" spans="1:12" outlineLevel="1">
      <c r="A379" s="20"/>
      <c r="B379" s="20"/>
      <c r="C379" s="20"/>
      <c r="D379" s="20"/>
      <c r="E379" s="20"/>
      <c r="F379" s="21">
        <f>SUBTOTAL(9,F378:F378)</f>
        <v>9495</v>
      </c>
      <c r="G379" s="21">
        <f>SUBTOTAL(9,G378:G378)</f>
        <v>0</v>
      </c>
      <c r="H379" s="21">
        <f>F379-G379</f>
        <v>9495</v>
      </c>
      <c r="I379" s="20"/>
      <c r="J379" s="20"/>
      <c r="K379" s="20"/>
      <c r="L379" s="20"/>
    </row>
    <row r="380" spans="1:12">
      <c r="A380" s="12" t="s">
        <v>49</v>
      </c>
      <c r="B380" s="13"/>
      <c r="C380" s="14"/>
      <c r="D380" s="13"/>
      <c r="E380" s="13"/>
      <c r="F380" s="15"/>
      <c r="G380" s="15"/>
      <c r="H380" s="16"/>
      <c r="I380" s="16"/>
      <c r="J380" s="15"/>
      <c r="K380" s="13"/>
      <c r="L380" s="13"/>
    </row>
    <row r="381" spans="1:12" outlineLevel="1">
      <c r="A381" s="1">
        <v>2011</v>
      </c>
      <c r="B381" s="2" t="s">
        <v>15</v>
      </c>
      <c r="C381" s="3">
        <v>46022</v>
      </c>
      <c r="D381" s="2" t="s">
        <v>16</v>
      </c>
      <c r="F381" s="17">
        <v>39280.92</v>
      </c>
      <c r="G381" s="17">
        <v>0</v>
      </c>
      <c r="H381" s="18">
        <f>F381-G381</f>
        <v>39280.92</v>
      </c>
      <c r="I381" s="18">
        <f>H381</f>
        <v>39280.92</v>
      </c>
      <c r="J381" s="17">
        <v>0</v>
      </c>
      <c r="K381" s="19" t="s">
        <v>13</v>
      </c>
      <c r="L381" s="19" t="s">
        <v>13</v>
      </c>
    </row>
    <row r="382" spans="1:12" outlineLevel="1">
      <c r="A382" s="20"/>
      <c r="B382" s="20"/>
      <c r="C382" s="20"/>
      <c r="D382" s="20"/>
      <c r="E382" s="20"/>
      <c r="F382" s="21">
        <f>SUBTOTAL(9,F381:F381)</f>
        <v>39280.92</v>
      </c>
      <c r="G382" s="21">
        <f>SUBTOTAL(9,G381:G381)</f>
        <v>0</v>
      </c>
      <c r="H382" s="21">
        <f>F382-G382</f>
        <v>39280.92</v>
      </c>
      <c r="I382" s="20"/>
      <c r="J382" s="20"/>
      <c r="K382" s="20"/>
      <c r="L382" s="20"/>
    </row>
    <row r="383" spans="1:12">
      <c r="A383" s="22"/>
      <c r="B383" s="22"/>
      <c r="C383" s="22"/>
      <c r="D383" s="22"/>
      <c r="E383" s="22"/>
      <c r="F383" s="23">
        <f>SUBTOTAL(9,F5:F382)</f>
        <v>814584.18999999983</v>
      </c>
      <c r="G383" s="23">
        <f>SUBTOTAL(9,G5:G382)</f>
        <v>814584.19000000006</v>
      </c>
      <c r="H383" s="23">
        <f>F383-G383</f>
        <v>0</v>
      </c>
      <c r="I383" s="22"/>
      <c r="J383" s="22"/>
      <c r="K383" s="22"/>
      <c r="L383" s="22"/>
    </row>
  </sheetData>
  <mergeCells count="1">
    <mergeCell ref="A1:L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1500729C049C4D8125E5CEC58748B6" ma:contentTypeVersion="18" ma:contentTypeDescription="Een nieuw document maken." ma:contentTypeScope="" ma:versionID="2f0e79b923db6f0b828c1f9dbcb832fe">
  <xsd:schema xmlns:xsd="http://www.w3.org/2001/XMLSchema" xmlns:xs="http://www.w3.org/2001/XMLSchema" xmlns:p="http://schemas.microsoft.com/office/2006/metadata/properties" xmlns:ns2="521962bc-25ba-4e82-a2a8-7e325aaa216f" xmlns:ns3="1b37e0c8-4bc7-4a5b-b2ed-1d5d05e039e0" targetNamespace="http://schemas.microsoft.com/office/2006/metadata/properties" ma:root="true" ma:fieldsID="f3397521024321458895bfccb2f725ef" ns2:_="" ns3:_="">
    <xsd:import namespace="521962bc-25ba-4e82-a2a8-7e325aaa216f"/>
    <xsd:import namespace="1b37e0c8-4bc7-4a5b-b2ed-1d5d05e039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1962bc-25ba-4e82-a2a8-7e325aaa21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Afbeeldingtags" ma:readOnly="false" ma:fieldId="{5cf76f15-5ced-4ddc-b409-7134ff3c332f}" ma:taxonomyMulti="true" ma:sspId="8211cda2-e5a4-4f90-9c03-bdecd64f79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37e0c8-4bc7-4a5b-b2ed-1d5d05e039e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c90f9a6-8895-4663-a872-bc60d08c4d27}" ma:internalName="TaxCatchAll" ma:showField="CatchAllData" ma:web="1b37e0c8-4bc7-4a5b-b2ed-1d5d05e039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b37e0c8-4bc7-4a5b-b2ed-1d5d05e039e0" xsi:nil="true"/>
    <lcf76f155ced4ddcb4097134ff3c332f xmlns="521962bc-25ba-4e82-a2a8-7e325aaa216f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8F49C7E-47EC-4E7C-B63D-266A6297EF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1962bc-25ba-4e82-a2a8-7e325aaa216f"/>
    <ds:schemaRef ds:uri="1b37e0c8-4bc7-4a5b-b2ed-1d5d05e039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C81877-10AF-4FFB-A875-99C1476DAF64}">
  <ds:schemaRefs>
    <ds:schemaRef ds:uri="http://schemas.microsoft.com/office/2006/metadata/properties"/>
    <ds:schemaRef ds:uri="http://schemas.microsoft.com/office/infopath/2007/PartnerControls"/>
    <ds:schemaRef ds:uri="1b37e0c8-4bc7-4a5b-b2ed-1d5d05e039e0"/>
    <ds:schemaRef ds:uri="521962bc-25ba-4e82-a2a8-7e325aaa216f"/>
  </ds:schemaRefs>
</ds:datastoreItem>
</file>

<file path=customXml/itemProps3.xml><?xml version="1.0" encoding="utf-8"?>
<ds:datastoreItem xmlns:ds="http://schemas.openxmlformats.org/officeDocument/2006/customXml" ds:itemID="{E5C3C3BA-25E0-4FA7-873C-2DF28D7230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1</vt:i4>
      </vt:variant>
    </vt:vector>
  </HeadingPairs>
  <TitlesOfParts>
    <vt:vector size="2" baseType="lpstr">
      <vt:lpstr>Sheet</vt:lpstr>
      <vt:lpstr>Sheet!Afdruktitels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Thomas Janssen</cp:lastModifiedBy>
  <dcterms:created xsi:type="dcterms:W3CDTF">2026-09-24T14:46:20Z</dcterms:created>
  <dcterms:modified xsi:type="dcterms:W3CDTF">2026-10-01T08:53:27Z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18.2.7.0</vt:lpwstr>
  </property>
  <property fmtid="{D5CDD505-2E9C-101B-9397-08002B2CF9AE}" pid="3" name="ContentTypeId">
    <vt:lpwstr>0x010100DC1500729C049C4D8125E5CEC58748B6</vt:lpwstr>
  </property>
</Properties>
</file>